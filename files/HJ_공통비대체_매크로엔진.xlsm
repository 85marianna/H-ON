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hyejung.jo\Downloads\"/>
    </mc:Choice>
  </mc:AlternateContent>
  <xr:revisionPtr revIDLastSave="0" documentId="13_ncr:1_{D96BEE3D-BF1A-45FE-8581-3090F067465F}" xr6:coauthVersionLast="47" xr6:coauthVersionMax="47" xr10:uidLastSave="{00000000-0000-0000-0000-000000000000}"/>
  <bookViews>
    <workbookView xWindow="-23148" yWindow="-144" windowWidth="23256" windowHeight="12456" xr2:uid="{00000000-000D-0000-FFFF-FFFF00000000}"/>
  </bookViews>
  <sheets>
    <sheet name="원장" sheetId="54" r:id="rId1"/>
    <sheet name="업로드템플릿" sheetId="18" r:id="rId2"/>
    <sheet name="부서매핑" sheetId="57" r:id="rId3"/>
    <sheet name="계정매핑" sheetId="56" r:id="rId4"/>
    <sheet name="2026-배부율" sheetId="6" r:id="rId5"/>
    <sheet name="Layout" sheetId="58" r:id="rId6"/>
  </sheets>
  <functionGroups builtInGroupCount="19"/>
  <definedNames>
    <definedName name="_xlnm._FilterDatabase" localSheetId="4" hidden="1">'2026-배부율'!$G$1:$J$489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" i="57" l="1"/>
  <c r="E4" i="57"/>
  <c r="E5" i="57"/>
  <c r="E6" i="57"/>
  <c r="E7" i="57"/>
  <c r="E2" i="57"/>
  <c r="G3" i="6" l="1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91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92" i="6"/>
  <c r="G93" i="6"/>
  <c r="G94" i="6"/>
  <c r="G95" i="6"/>
  <c r="G96" i="6"/>
  <c r="G97" i="6"/>
  <c r="G98" i="6"/>
  <c r="G99" i="6"/>
  <c r="G100" i="6"/>
  <c r="G54" i="6"/>
  <c r="G55" i="6"/>
  <c r="G101" i="6"/>
  <c r="G102" i="6"/>
  <c r="G103" i="6"/>
  <c r="G104" i="6"/>
  <c r="G105" i="6"/>
  <c r="G56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57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71" i="6"/>
  <c r="G72" i="6"/>
  <c r="G73" i="6"/>
  <c r="G74" i="6"/>
  <c r="G75" i="6"/>
  <c r="G76" i="6"/>
  <c r="G77" i="6"/>
  <c r="G78" i="6"/>
  <c r="G79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80" i="6"/>
  <c r="G81" i="6"/>
  <c r="G82" i="6"/>
  <c r="G83" i="6"/>
  <c r="G84" i="6"/>
  <c r="G85" i="6"/>
  <c r="G86" i="6"/>
  <c r="G87" i="6"/>
  <c r="G88" i="6"/>
  <c r="G89" i="6"/>
  <c r="G90" i="6"/>
  <c r="G2" i="6"/>
  <c r="J489" i="6"/>
  <c r="C9" i="6" l="1"/>
  <c r="C12" i="6" l="1"/>
  <c r="D12" i="6" s="1"/>
  <c r="C11" i="6" l="1"/>
  <c r="C10" i="6"/>
  <c r="D10" i="6" l="1"/>
  <c r="D9" i="6" l="1"/>
</calcChain>
</file>

<file path=xl/sharedStrings.xml><?xml version="1.0" encoding="utf-8"?>
<sst xmlns="http://schemas.openxmlformats.org/spreadsheetml/2006/main" count="1258" uniqueCount="256">
  <si>
    <t>2570</t>
  </si>
  <si>
    <t>4Z400K1</t>
  </si>
  <si>
    <t>4202150000</t>
  </si>
  <si>
    <t>KRW</t>
  </si>
  <si>
    <t>420365K002</t>
  </si>
  <si>
    <t>420365K004</t>
  </si>
  <si>
    <t>4Z600K1</t>
  </si>
  <si>
    <t>420575K002</t>
  </si>
  <si>
    <t>4Z820K1</t>
  </si>
  <si>
    <t>4Z830K1</t>
  </si>
  <si>
    <t>4Z840K1</t>
  </si>
  <si>
    <t>4Z880K1</t>
  </si>
  <si>
    <t>4Z401K1</t>
  </si>
  <si>
    <t>급여</t>
  </si>
  <si>
    <t>상여금</t>
  </si>
  <si>
    <t>퇴직급여</t>
  </si>
  <si>
    <t>감가상각비</t>
  </si>
  <si>
    <t>420365K001</t>
  </si>
  <si>
    <t>434365K001</t>
  </si>
  <si>
    <t>차량유지비</t>
  </si>
  <si>
    <t>434365K002</t>
  </si>
  <si>
    <t>소모품비</t>
  </si>
  <si>
    <t>복리후생비</t>
  </si>
  <si>
    <t>지급수수료</t>
  </si>
  <si>
    <t>4Z601K1</t>
  </si>
  <si>
    <t>420365K003</t>
  </si>
  <si>
    <t>434365K003</t>
  </si>
  <si>
    <t>도서구입비</t>
  </si>
  <si>
    <t>434365K004</t>
  </si>
  <si>
    <t>수선비</t>
  </si>
  <si>
    <t>접대비</t>
  </si>
  <si>
    <t>433475K001</t>
  </si>
  <si>
    <t>회식비</t>
  </si>
  <si>
    <t>세금과공과</t>
  </si>
  <si>
    <t>4Z821K1</t>
  </si>
  <si>
    <t>4Z831K1</t>
  </si>
  <si>
    <t>4Z841K1</t>
  </si>
  <si>
    <t>4Z881K1</t>
  </si>
  <si>
    <t>420121K001</t>
  </si>
  <si>
    <t>무형자산상각비</t>
  </si>
  <si>
    <t>보험료</t>
  </si>
  <si>
    <t>임차료</t>
  </si>
  <si>
    <t>여비교통비</t>
  </si>
  <si>
    <t>통신비</t>
  </si>
  <si>
    <t>439575K002</t>
  </si>
  <si>
    <t>교육훈련비</t>
  </si>
  <si>
    <t>잡비</t>
  </si>
  <si>
    <t>경비계정</t>
    <phoneticPr fontId="47" type="noConversion"/>
  </si>
  <si>
    <t>제조원가 계정</t>
    <phoneticPr fontId="47" type="noConversion"/>
  </si>
  <si>
    <t>420365K002</t>
    <phoneticPr fontId="47" type="noConversion"/>
  </si>
  <si>
    <t>420575K003</t>
    <phoneticPr fontId="47" type="noConversion"/>
  </si>
  <si>
    <t>420575K002</t>
    <phoneticPr fontId="47" type="noConversion"/>
  </si>
  <si>
    <t>420455K021</t>
    <phoneticPr fontId="47" type="noConversion"/>
  </si>
  <si>
    <t>급여(P)</t>
  </si>
  <si>
    <t>상여금(P)</t>
  </si>
  <si>
    <t>퇴직급여(P)</t>
  </si>
  <si>
    <t>소모품비(P)</t>
  </si>
  <si>
    <t>복리후생비(P)</t>
  </si>
  <si>
    <t>지급수수료(일반)(P)</t>
  </si>
  <si>
    <t>지급수수료(인건비)(P)</t>
  </si>
  <si>
    <t>420365K001</t>
    <phoneticPr fontId="47" type="noConversion"/>
  </si>
  <si>
    <t>010</t>
  </si>
  <si>
    <t>030</t>
  </si>
  <si>
    <t>087</t>
  </si>
  <si>
    <t>022</t>
  </si>
  <si>
    <t>코스트센터</t>
  </si>
  <si>
    <t>4Z500K1</t>
  </si>
  <si>
    <t>PZ200K1</t>
  </si>
  <si>
    <t>4Z800K1</t>
  </si>
  <si>
    <t>4Z300K1</t>
  </si>
  <si>
    <t>PZ121K1</t>
  </si>
  <si>
    <t>7Z200K1</t>
  </si>
  <si>
    <t>E0000K1</t>
  </si>
  <si>
    <t>PZ300K1</t>
  </si>
  <si>
    <t>PZ310K1</t>
  </si>
  <si>
    <t>PHF11K1</t>
  </si>
  <si>
    <t>1Z000K1</t>
  </si>
  <si>
    <t>1Z100K1</t>
  </si>
  <si>
    <t>PFF12K1</t>
  </si>
  <si>
    <t>PFF11K1</t>
  </si>
  <si>
    <t>PHF12K1</t>
  </si>
  <si>
    <t>PIF12K1</t>
  </si>
  <si>
    <t>PIF11K1</t>
  </si>
  <si>
    <t>C1000K1</t>
  </si>
  <si>
    <t>4Z200K1</t>
  </si>
  <si>
    <t>PZ210K1</t>
  </si>
  <si>
    <t>사번</t>
  </si>
  <si>
    <t>코스트센터명</t>
  </si>
  <si>
    <t>4Z500 IT</t>
  </si>
  <si>
    <t>PZ200 품질보증공통</t>
  </si>
  <si>
    <t>4Z800 RM</t>
  </si>
  <si>
    <t>4Z300 경리재무</t>
  </si>
  <si>
    <t>PZ121 FLOAT 공통 인건비</t>
  </si>
  <si>
    <t>7Z200 포장 출하</t>
  </si>
  <si>
    <t>E0000 간부</t>
  </si>
  <si>
    <t>PZ300 생산관리공통</t>
  </si>
  <si>
    <t>PZ310 FL생산관리</t>
  </si>
  <si>
    <t>PHF11 HF ON HOT</t>
  </si>
  <si>
    <t>1Z0000 설비기술공통</t>
  </si>
  <si>
    <t>1Z100 FL설비기술</t>
  </si>
  <si>
    <t>PFF12 FF ON COLD</t>
  </si>
  <si>
    <t>PFF11 FF ON HOT</t>
  </si>
  <si>
    <t>PHF12 HF ON COLD</t>
  </si>
  <si>
    <t>PIF12 IF ON COLD</t>
  </si>
  <si>
    <t>PIF11 IF ON HOT</t>
  </si>
  <si>
    <t>C1000 업무개선추진</t>
  </si>
  <si>
    <t>4Z400 자재구매</t>
  </si>
  <si>
    <t>4Z200 총무인사</t>
  </si>
  <si>
    <t>PZ210 FL품질보증</t>
  </si>
  <si>
    <t>4Z600 환경안전</t>
  </si>
  <si>
    <t>합계</t>
    <phoneticPr fontId="50" type="noConversion"/>
  </si>
  <si>
    <t>공통인원</t>
    <phoneticPr fontId="50" type="noConversion"/>
  </si>
  <si>
    <t>판관인원</t>
    <phoneticPr fontId="50" type="noConversion"/>
  </si>
  <si>
    <t>제조인원</t>
    <phoneticPr fontId="50" type="noConversion"/>
  </si>
  <si>
    <t>배부율</t>
    <phoneticPr fontId="50" type="noConversion"/>
  </si>
  <si>
    <t>420365K003</t>
    <phoneticPr fontId="47" type="noConversion"/>
  </si>
  <si>
    <r>
      <rPr>
        <b/>
        <sz val="14"/>
        <rFont val="ＭＳ Ｐゴシック"/>
        <family val="2"/>
        <charset val="128"/>
      </rPr>
      <t>파일구분
（데이터구분)</t>
    </r>
    <r>
      <rPr>
        <sz val="11"/>
        <rFont val="ＭＳ Ｐゴシック"/>
        <family val="2"/>
        <charset val="128"/>
      </rPr>
      <t xml:space="preserve">
필드 설명:외부 시스템으로부터 인터페이스의 경우 값이 입력되어 있지만 로컬 업로드의 경우는 공란
필수 여부:필수(공란)
</t>
    </r>
  </si>
  <si>
    <r>
      <rPr>
        <b/>
        <sz val="14"/>
        <rFont val="BatangChe"/>
        <family val="1"/>
      </rPr>
      <t>필러</t>
    </r>
    <r>
      <rPr>
        <sz val="11"/>
        <rFont val="ＭＳ Ｐゴシック"/>
        <family val="2"/>
        <charset val="128"/>
      </rPr>
      <t xml:space="preserve">
</t>
    </r>
    <r>
      <rPr>
        <sz val="11"/>
        <rFont val="BatangChe"/>
        <family val="1"/>
      </rPr>
      <t>필드</t>
    </r>
    <r>
      <rPr>
        <sz val="11"/>
        <rFont val="ＭＳ Ｐゴシック"/>
        <family val="2"/>
        <charset val="128"/>
      </rPr>
      <t xml:space="preserve"> </t>
    </r>
    <r>
      <rPr>
        <sz val="11"/>
        <rFont val="BatangChe"/>
        <family val="1"/>
      </rPr>
      <t>설명</t>
    </r>
    <r>
      <rPr>
        <sz val="11"/>
        <rFont val="ＭＳ Ｐゴシック"/>
        <family val="2"/>
        <charset val="128"/>
      </rPr>
      <t>:</t>
    </r>
    <r>
      <rPr>
        <sz val="11"/>
        <rFont val="BatangChe"/>
        <family val="1"/>
      </rPr>
      <t>외부</t>
    </r>
    <r>
      <rPr>
        <sz val="11"/>
        <rFont val="ＭＳ Ｐゴシック"/>
        <family val="2"/>
        <charset val="128"/>
      </rPr>
      <t xml:space="preserve"> </t>
    </r>
    <r>
      <rPr>
        <sz val="11"/>
        <rFont val="BatangChe"/>
        <family val="1"/>
      </rPr>
      <t>시스템으로부터</t>
    </r>
    <r>
      <rPr>
        <sz val="11"/>
        <rFont val="ＭＳ Ｐゴシック"/>
        <family val="2"/>
        <charset val="128"/>
      </rPr>
      <t xml:space="preserve"> </t>
    </r>
    <r>
      <rPr>
        <sz val="11"/>
        <rFont val="BatangChe"/>
        <family val="1"/>
      </rPr>
      <t>인터페이스의</t>
    </r>
    <r>
      <rPr>
        <sz val="11"/>
        <rFont val="ＭＳ Ｐゴシック"/>
        <family val="2"/>
        <charset val="128"/>
      </rPr>
      <t xml:space="preserve"> </t>
    </r>
    <r>
      <rPr>
        <sz val="11"/>
        <rFont val="BatangChe"/>
        <family val="1"/>
      </rPr>
      <t>경우</t>
    </r>
    <r>
      <rPr>
        <sz val="11"/>
        <rFont val="ＭＳ Ｐゴシック"/>
        <family val="2"/>
        <charset val="128"/>
      </rPr>
      <t xml:space="preserve"> </t>
    </r>
    <r>
      <rPr>
        <sz val="11"/>
        <rFont val="BatangChe"/>
        <family val="1"/>
      </rPr>
      <t>값이</t>
    </r>
    <r>
      <rPr>
        <sz val="11"/>
        <rFont val="ＭＳ Ｐゴシック"/>
        <family val="2"/>
        <charset val="128"/>
      </rPr>
      <t xml:space="preserve"> </t>
    </r>
    <r>
      <rPr>
        <sz val="11"/>
        <rFont val="BatangChe"/>
        <family val="1"/>
      </rPr>
      <t>입력되어</t>
    </r>
    <r>
      <rPr>
        <sz val="11"/>
        <rFont val="ＭＳ Ｐゴシック"/>
        <family val="2"/>
        <charset val="128"/>
      </rPr>
      <t xml:space="preserve"> </t>
    </r>
    <r>
      <rPr>
        <sz val="11"/>
        <rFont val="BatangChe"/>
        <family val="1"/>
      </rPr>
      <t>있지만</t>
    </r>
    <r>
      <rPr>
        <sz val="11"/>
        <rFont val="ＭＳ Ｐゴシック"/>
        <family val="2"/>
        <charset val="128"/>
      </rPr>
      <t xml:space="preserve"> </t>
    </r>
    <r>
      <rPr>
        <sz val="11"/>
        <rFont val="BatangChe"/>
        <family val="1"/>
      </rPr>
      <t>로컬</t>
    </r>
    <r>
      <rPr>
        <sz val="11"/>
        <rFont val="ＭＳ Ｐゴシック"/>
        <family val="2"/>
        <charset val="128"/>
      </rPr>
      <t xml:space="preserve"> </t>
    </r>
    <r>
      <rPr>
        <sz val="11"/>
        <rFont val="BatangChe"/>
        <family val="1"/>
      </rPr>
      <t>업로드의</t>
    </r>
    <r>
      <rPr>
        <sz val="11"/>
        <rFont val="ＭＳ Ｐゴシック"/>
        <family val="2"/>
        <charset val="128"/>
      </rPr>
      <t xml:space="preserve"> </t>
    </r>
    <r>
      <rPr>
        <sz val="11"/>
        <rFont val="BatangChe"/>
        <family val="1"/>
      </rPr>
      <t>경우는</t>
    </r>
    <r>
      <rPr>
        <sz val="11"/>
        <rFont val="ＭＳ Ｐゴシック"/>
        <family val="2"/>
        <charset val="128"/>
      </rPr>
      <t xml:space="preserve"> </t>
    </r>
    <r>
      <rPr>
        <sz val="11"/>
        <rFont val="BatangChe"/>
        <family val="1"/>
      </rPr>
      <t>공란
필수</t>
    </r>
    <r>
      <rPr>
        <sz val="11"/>
        <rFont val="ＭＳ Ｐゴシック"/>
        <family val="2"/>
        <charset val="128"/>
      </rPr>
      <t xml:space="preserve"> </t>
    </r>
    <r>
      <rPr>
        <sz val="11"/>
        <rFont val="BatangChe"/>
        <family val="1"/>
      </rPr>
      <t>여부</t>
    </r>
    <r>
      <rPr>
        <sz val="11"/>
        <rFont val="ＭＳ Ｐゴシック"/>
        <family val="2"/>
        <charset val="128"/>
      </rPr>
      <t>:</t>
    </r>
    <r>
      <rPr>
        <sz val="11"/>
        <rFont val="BatangChe"/>
        <family val="1"/>
      </rPr>
      <t>필수</t>
    </r>
    <r>
      <rPr>
        <sz val="11"/>
        <rFont val="ＭＳ Ｐゴシック"/>
        <family val="2"/>
        <charset val="128"/>
      </rPr>
      <t>(</t>
    </r>
    <r>
      <rPr>
        <sz val="11"/>
        <rFont val="BatangChe"/>
        <family val="1"/>
      </rPr>
      <t>공란</t>
    </r>
    <r>
      <rPr>
        <sz val="11"/>
        <rFont val="ＭＳ Ｐゴシック"/>
        <family val="2"/>
        <charset val="128"/>
      </rPr>
      <t xml:space="preserve">)
</t>
    </r>
  </si>
  <si>
    <r>
      <rPr>
        <b/>
        <sz val="14"/>
        <rFont val="BatangChe"/>
        <family val="1"/>
      </rPr>
      <t>타임</t>
    </r>
    <r>
      <rPr>
        <b/>
        <sz val="14"/>
        <rFont val="ＭＳ Ｐゴシック"/>
        <family val="2"/>
        <charset val="128"/>
      </rPr>
      <t xml:space="preserve"> </t>
    </r>
    <r>
      <rPr>
        <b/>
        <sz val="14"/>
        <rFont val="BatangChe"/>
        <family val="1"/>
      </rPr>
      <t>스탬프</t>
    </r>
    <r>
      <rPr>
        <b/>
        <sz val="14"/>
        <rFont val="ＭＳ Ｐゴシック"/>
        <family val="2"/>
        <charset val="128"/>
      </rPr>
      <t xml:space="preserve">
（</t>
    </r>
    <r>
      <rPr>
        <b/>
        <sz val="14"/>
        <rFont val="BatangChe"/>
        <family val="1"/>
      </rPr>
      <t>년월일</t>
    </r>
    <r>
      <rPr>
        <b/>
        <sz val="14"/>
        <rFont val="ＭＳ Ｐゴシック"/>
        <family val="2"/>
        <charset val="128"/>
      </rPr>
      <t>）</t>
    </r>
    <r>
      <rPr>
        <sz val="11"/>
        <rFont val="ＭＳ Ｐゴシック"/>
        <family val="2"/>
        <charset val="128"/>
      </rPr>
      <t xml:space="preserve">
</t>
    </r>
    <r>
      <rPr>
        <sz val="11"/>
        <rFont val="BatangChe"/>
        <family val="1"/>
      </rPr>
      <t>필드</t>
    </r>
    <r>
      <rPr>
        <sz val="11"/>
        <rFont val="ＭＳ Ｐゴシック"/>
        <family val="2"/>
        <charset val="128"/>
      </rPr>
      <t xml:space="preserve"> </t>
    </r>
    <r>
      <rPr>
        <sz val="11"/>
        <rFont val="BatangChe"/>
        <family val="1"/>
      </rPr>
      <t>설명</t>
    </r>
    <r>
      <rPr>
        <sz val="11"/>
        <rFont val="ＭＳ Ｐゴシック"/>
        <family val="2"/>
        <charset val="128"/>
      </rPr>
      <t>:</t>
    </r>
    <r>
      <rPr>
        <sz val="11"/>
        <rFont val="BatangChe"/>
        <family val="1"/>
      </rPr>
      <t>외부</t>
    </r>
    <r>
      <rPr>
        <sz val="11"/>
        <rFont val="ＭＳ Ｐゴシック"/>
        <family val="2"/>
        <charset val="128"/>
      </rPr>
      <t xml:space="preserve"> </t>
    </r>
    <r>
      <rPr>
        <sz val="11"/>
        <rFont val="BatangChe"/>
        <family val="1"/>
      </rPr>
      <t>시스템으로부터</t>
    </r>
    <r>
      <rPr>
        <sz val="11"/>
        <rFont val="ＭＳ Ｐゴシック"/>
        <family val="2"/>
        <charset val="128"/>
      </rPr>
      <t xml:space="preserve"> </t>
    </r>
    <r>
      <rPr>
        <sz val="11"/>
        <rFont val="BatangChe"/>
        <family val="1"/>
      </rPr>
      <t>인터페이스의</t>
    </r>
    <r>
      <rPr>
        <sz val="11"/>
        <rFont val="ＭＳ Ｐゴシック"/>
        <family val="2"/>
        <charset val="128"/>
      </rPr>
      <t xml:space="preserve"> </t>
    </r>
    <r>
      <rPr>
        <sz val="11"/>
        <rFont val="BatangChe"/>
        <family val="1"/>
      </rPr>
      <t>경우</t>
    </r>
    <r>
      <rPr>
        <sz val="11"/>
        <rFont val="ＭＳ Ｐゴシック"/>
        <family val="2"/>
        <charset val="128"/>
      </rPr>
      <t xml:space="preserve"> </t>
    </r>
    <r>
      <rPr>
        <sz val="11"/>
        <rFont val="BatangChe"/>
        <family val="1"/>
      </rPr>
      <t>값이</t>
    </r>
    <r>
      <rPr>
        <sz val="11"/>
        <rFont val="ＭＳ Ｐゴシック"/>
        <family val="2"/>
        <charset val="128"/>
      </rPr>
      <t xml:space="preserve"> </t>
    </r>
    <r>
      <rPr>
        <sz val="11"/>
        <rFont val="BatangChe"/>
        <family val="1"/>
      </rPr>
      <t>입력되어</t>
    </r>
    <r>
      <rPr>
        <sz val="11"/>
        <rFont val="ＭＳ Ｐゴシック"/>
        <family val="2"/>
        <charset val="128"/>
      </rPr>
      <t xml:space="preserve"> </t>
    </r>
    <r>
      <rPr>
        <sz val="11"/>
        <rFont val="BatangChe"/>
        <family val="1"/>
      </rPr>
      <t>있지만</t>
    </r>
    <r>
      <rPr>
        <sz val="11"/>
        <rFont val="ＭＳ Ｐゴシック"/>
        <family val="2"/>
        <charset val="128"/>
      </rPr>
      <t xml:space="preserve"> </t>
    </r>
    <r>
      <rPr>
        <sz val="11"/>
        <rFont val="BatangChe"/>
        <family val="1"/>
      </rPr>
      <t>로컬</t>
    </r>
    <r>
      <rPr>
        <sz val="11"/>
        <rFont val="ＭＳ Ｐゴシック"/>
        <family val="2"/>
        <charset val="128"/>
      </rPr>
      <t xml:space="preserve"> </t>
    </r>
    <r>
      <rPr>
        <sz val="11"/>
        <rFont val="BatangChe"/>
        <family val="1"/>
      </rPr>
      <t>업로드의</t>
    </r>
    <r>
      <rPr>
        <sz val="11"/>
        <rFont val="ＭＳ Ｐゴシック"/>
        <family val="2"/>
        <charset val="128"/>
      </rPr>
      <t xml:space="preserve"> </t>
    </r>
    <r>
      <rPr>
        <sz val="11"/>
        <rFont val="BatangChe"/>
        <family val="1"/>
      </rPr>
      <t>경우는</t>
    </r>
    <r>
      <rPr>
        <sz val="11"/>
        <rFont val="ＭＳ Ｐゴシック"/>
        <family val="2"/>
        <charset val="128"/>
      </rPr>
      <t xml:space="preserve"> </t>
    </r>
    <r>
      <rPr>
        <sz val="11"/>
        <rFont val="BatangChe"/>
        <family val="1"/>
      </rPr>
      <t>공란
필수</t>
    </r>
    <r>
      <rPr>
        <sz val="11"/>
        <rFont val="ＭＳ Ｐゴシック"/>
        <family val="2"/>
        <charset val="128"/>
      </rPr>
      <t xml:space="preserve"> </t>
    </r>
    <r>
      <rPr>
        <sz val="11"/>
        <rFont val="BatangChe"/>
        <family val="1"/>
      </rPr>
      <t>여부</t>
    </r>
    <r>
      <rPr>
        <sz val="11"/>
        <rFont val="ＭＳ Ｐゴシック"/>
        <family val="2"/>
        <charset val="128"/>
      </rPr>
      <t>:</t>
    </r>
    <r>
      <rPr>
        <sz val="11"/>
        <rFont val="BatangChe"/>
        <family val="1"/>
      </rPr>
      <t>필수</t>
    </r>
    <r>
      <rPr>
        <sz val="11"/>
        <rFont val="ＭＳ Ｐゴシック"/>
        <family val="2"/>
        <charset val="128"/>
      </rPr>
      <t>(</t>
    </r>
    <r>
      <rPr>
        <sz val="11"/>
        <rFont val="BatangChe"/>
        <family val="1"/>
      </rPr>
      <t>공란</t>
    </r>
    <r>
      <rPr>
        <sz val="11"/>
        <rFont val="ＭＳ Ｐゴシック"/>
        <family val="2"/>
        <charset val="128"/>
      </rPr>
      <t xml:space="preserve">)
</t>
    </r>
  </si>
  <si>
    <r>
      <rPr>
        <b/>
        <sz val="14"/>
        <rFont val="BatangChe"/>
        <family val="1"/>
      </rPr>
      <t>타임</t>
    </r>
    <r>
      <rPr>
        <b/>
        <sz val="14"/>
        <rFont val="ＭＳ Ｐゴシック"/>
        <family val="2"/>
        <charset val="128"/>
      </rPr>
      <t xml:space="preserve"> </t>
    </r>
    <r>
      <rPr>
        <b/>
        <sz val="14"/>
        <rFont val="BatangChe"/>
        <family val="1"/>
      </rPr>
      <t>스탬프</t>
    </r>
    <r>
      <rPr>
        <b/>
        <sz val="14"/>
        <rFont val="ＭＳ Ｐゴシック"/>
        <family val="2"/>
        <charset val="128"/>
      </rPr>
      <t xml:space="preserve">
（</t>
    </r>
    <r>
      <rPr>
        <b/>
        <sz val="14"/>
        <rFont val="BatangChe"/>
        <family val="1"/>
      </rPr>
      <t>시분초</t>
    </r>
    <r>
      <rPr>
        <b/>
        <sz val="14"/>
        <rFont val="ＭＳ Ｐゴシック"/>
        <family val="2"/>
        <charset val="128"/>
      </rPr>
      <t>）</t>
    </r>
    <r>
      <rPr>
        <sz val="11"/>
        <rFont val="ＭＳ Ｐゴシック"/>
        <family val="2"/>
        <charset val="128"/>
      </rPr>
      <t xml:space="preserve">
</t>
    </r>
    <r>
      <rPr>
        <sz val="11"/>
        <rFont val="BatangChe"/>
        <family val="1"/>
      </rPr>
      <t>필드</t>
    </r>
    <r>
      <rPr>
        <sz val="11"/>
        <rFont val="ＭＳ Ｐゴシック"/>
        <family val="2"/>
        <charset val="128"/>
      </rPr>
      <t xml:space="preserve"> </t>
    </r>
    <r>
      <rPr>
        <sz val="11"/>
        <rFont val="BatangChe"/>
        <family val="1"/>
      </rPr>
      <t>설명</t>
    </r>
    <r>
      <rPr>
        <sz val="11"/>
        <rFont val="ＭＳ Ｐゴシック"/>
        <family val="2"/>
        <charset val="128"/>
      </rPr>
      <t>:</t>
    </r>
    <r>
      <rPr>
        <sz val="11"/>
        <rFont val="BatangChe"/>
        <family val="1"/>
      </rPr>
      <t>외부</t>
    </r>
    <r>
      <rPr>
        <sz val="11"/>
        <rFont val="ＭＳ Ｐゴシック"/>
        <family val="2"/>
        <charset val="128"/>
      </rPr>
      <t xml:space="preserve"> </t>
    </r>
    <r>
      <rPr>
        <sz val="11"/>
        <rFont val="BatangChe"/>
        <family val="1"/>
      </rPr>
      <t>시스템으로부터</t>
    </r>
    <r>
      <rPr>
        <sz val="11"/>
        <rFont val="ＭＳ Ｐゴシック"/>
        <family val="2"/>
        <charset val="128"/>
      </rPr>
      <t xml:space="preserve"> </t>
    </r>
    <r>
      <rPr>
        <sz val="11"/>
        <rFont val="BatangChe"/>
        <family val="1"/>
      </rPr>
      <t>인터페이스의</t>
    </r>
    <r>
      <rPr>
        <sz val="11"/>
        <rFont val="ＭＳ Ｐゴシック"/>
        <family val="2"/>
        <charset val="128"/>
      </rPr>
      <t xml:space="preserve"> </t>
    </r>
    <r>
      <rPr>
        <sz val="11"/>
        <rFont val="BatangChe"/>
        <family val="1"/>
      </rPr>
      <t>경우</t>
    </r>
    <r>
      <rPr>
        <sz val="11"/>
        <rFont val="ＭＳ Ｐゴシック"/>
        <family val="2"/>
        <charset val="128"/>
      </rPr>
      <t xml:space="preserve"> </t>
    </r>
    <r>
      <rPr>
        <sz val="11"/>
        <rFont val="BatangChe"/>
        <family val="1"/>
      </rPr>
      <t>값이</t>
    </r>
    <r>
      <rPr>
        <sz val="11"/>
        <rFont val="ＭＳ Ｐゴシック"/>
        <family val="2"/>
        <charset val="128"/>
      </rPr>
      <t xml:space="preserve"> </t>
    </r>
    <r>
      <rPr>
        <sz val="11"/>
        <rFont val="BatangChe"/>
        <family val="1"/>
      </rPr>
      <t>입력되어</t>
    </r>
    <r>
      <rPr>
        <sz val="11"/>
        <rFont val="ＭＳ Ｐゴシック"/>
        <family val="2"/>
        <charset val="128"/>
      </rPr>
      <t xml:space="preserve"> </t>
    </r>
    <r>
      <rPr>
        <sz val="11"/>
        <rFont val="BatangChe"/>
        <family val="1"/>
      </rPr>
      <t>있지만</t>
    </r>
    <r>
      <rPr>
        <sz val="11"/>
        <rFont val="ＭＳ Ｐゴシック"/>
        <family val="2"/>
        <charset val="128"/>
      </rPr>
      <t xml:space="preserve"> </t>
    </r>
    <r>
      <rPr>
        <sz val="11"/>
        <rFont val="BatangChe"/>
        <family val="1"/>
      </rPr>
      <t>로컬</t>
    </r>
    <r>
      <rPr>
        <sz val="11"/>
        <rFont val="ＭＳ Ｐゴシック"/>
        <family val="2"/>
        <charset val="128"/>
      </rPr>
      <t xml:space="preserve"> </t>
    </r>
    <r>
      <rPr>
        <sz val="11"/>
        <rFont val="BatangChe"/>
        <family val="1"/>
      </rPr>
      <t>업로드의</t>
    </r>
    <r>
      <rPr>
        <sz val="11"/>
        <rFont val="ＭＳ Ｐゴシック"/>
        <family val="2"/>
        <charset val="128"/>
      </rPr>
      <t xml:space="preserve"> </t>
    </r>
    <r>
      <rPr>
        <sz val="11"/>
        <rFont val="BatangChe"/>
        <family val="1"/>
      </rPr>
      <t>경우는</t>
    </r>
    <r>
      <rPr>
        <sz val="11"/>
        <rFont val="ＭＳ Ｐゴシック"/>
        <family val="2"/>
        <charset val="128"/>
      </rPr>
      <t xml:space="preserve"> </t>
    </r>
    <r>
      <rPr>
        <sz val="11"/>
        <rFont val="BatangChe"/>
        <family val="1"/>
      </rPr>
      <t>공란
필수</t>
    </r>
    <r>
      <rPr>
        <sz val="11"/>
        <rFont val="ＭＳ Ｐゴシック"/>
        <family val="2"/>
        <charset val="128"/>
      </rPr>
      <t xml:space="preserve"> </t>
    </r>
    <r>
      <rPr>
        <sz val="11"/>
        <rFont val="BatangChe"/>
        <family val="1"/>
      </rPr>
      <t>여부</t>
    </r>
    <r>
      <rPr>
        <sz val="11"/>
        <rFont val="ＭＳ Ｐゴシック"/>
        <family val="2"/>
        <charset val="128"/>
      </rPr>
      <t>:</t>
    </r>
    <r>
      <rPr>
        <sz val="11"/>
        <rFont val="BatangChe"/>
        <family val="1"/>
      </rPr>
      <t>필수</t>
    </r>
    <r>
      <rPr>
        <sz val="11"/>
        <rFont val="ＭＳ Ｐゴシック"/>
        <family val="2"/>
        <charset val="128"/>
      </rPr>
      <t>(</t>
    </r>
    <r>
      <rPr>
        <sz val="11"/>
        <rFont val="BatangChe"/>
        <family val="1"/>
      </rPr>
      <t>공란</t>
    </r>
    <r>
      <rPr>
        <sz val="11"/>
        <rFont val="ＭＳ Ｐゴシック"/>
        <family val="2"/>
        <charset val="128"/>
      </rPr>
      <t xml:space="preserve">)
</t>
    </r>
  </si>
  <si>
    <r>
      <rPr>
        <b/>
        <sz val="14"/>
        <rFont val="BatangChe"/>
        <family val="1"/>
      </rPr>
      <t>기타</t>
    </r>
    <r>
      <rPr>
        <b/>
        <sz val="14"/>
        <rFont val="ＭＳ Ｐゴシック"/>
        <family val="2"/>
        <charset val="128"/>
      </rPr>
      <t xml:space="preserve"> </t>
    </r>
    <r>
      <rPr>
        <b/>
        <sz val="14"/>
        <rFont val="BatangChe"/>
        <family val="1"/>
      </rPr>
      <t>시스템</t>
    </r>
    <r>
      <rPr>
        <b/>
        <sz val="14"/>
        <rFont val="ＭＳ Ｐゴシック"/>
        <family val="2"/>
        <charset val="128"/>
      </rPr>
      <t xml:space="preserve">
</t>
    </r>
    <r>
      <rPr>
        <b/>
        <sz val="14"/>
        <rFont val="BatangChe"/>
        <family val="1"/>
      </rPr>
      <t>회사코드</t>
    </r>
    <r>
      <rPr>
        <sz val="11"/>
        <rFont val="ＭＳ Ｐゴシック"/>
        <family val="2"/>
        <charset val="128"/>
      </rPr>
      <t xml:space="preserve">
</t>
    </r>
    <r>
      <rPr>
        <sz val="11"/>
        <rFont val="BatangChe"/>
        <family val="1"/>
      </rPr>
      <t>필드</t>
    </r>
    <r>
      <rPr>
        <sz val="11"/>
        <rFont val="ＭＳ Ｐゴシック"/>
        <family val="2"/>
        <charset val="128"/>
      </rPr>
      <t xml:space="preserve"> </t>
    </r>
    <r>
      <rPr>
        <sz val="11"/>
        <rFont val="BatangChe"/>
        <family val="1"/>
      </rPr>
      <t>설명</t>
    </r>
    <r>
      <rPr>
        <sz val="11"/>
        <rFont val="ＭＳ Ｐゴシック"/>
        <family val="2"/>
        <charset val="128"/>
      </rPr>
      <t>:</t>
    </r>
    <r>
      <rPr>
        <sz val="11"/>
        <rFont val="BatangChe"/>
        <family val="1"/>
      </rPr>
      <t>외부</t>
    </r>
    <r>
      <rPr>
        <sz val="11"/>
        <rFont val="ＭＳ Ｐゴシック"/>
        <family val="2"/>
        <charset val="128"/>
      </rPr>
      <t xml:space="preserve"> </t>
    </r>
    <r>
      <rPr>
        <sz val="11"/>
        <rFont val="BatangChe"/>
        <family val="1"/>
      </rPr>
      <t>시스템으로부터</t>
    </r>
    <r>
      <rPr>
        <sz val="11"/>
        <rFont val="ＭＳ Ｐゴシック"/>
        <family val="2"/>
        <charset val="128"/>
      </rPr>
      <t xml:space="preserve"> </t>
    </r>
    <r>
      <rPr>
        <sz val="11"/>
        <rFont val="BatangChe"/>
        <family val="1"/>
      </rPr>
      <t>인터페이스의</t>
    </r>
    <r>
      <rPr>
        <sz val="11"/>
        <rFont val="ＭＳ Ｐゴシック"/>
        <family val="2"/>
        <charset val="128"/>
      </rPr>
      <t xml:space="preserve"> </t>
    </r>
    <r>
      <rPr>
        <sz val="11"/>
        <rFont val="BatangChe"/>
        <family val="1"/>
      </rPr>
      <t>경우</t>
    </r>
    <r>
      <rPr>
        <sz val="11"/>
        <rFont val="ＭＳ Ｐゴシック"/>
        <family val="2"/>
        <charset val="128"/>
      </rPr>
      <t xml:space="preserve"> </t>
    </r>
    <r>
      <rPr>
        <sz val="11"/>
        <rFont val="BatangChe"/>
        <family val="1"/>
      </rPr>
      <t>값이</t>
    </r>
    <r>
      <rPr>
        <sz val="11"/>
        <rFont val="ＭＳ Ｐゴシック"/>
        <family val="2"/>
        <charset val="128"/>
      </rPr>
      <t xml:space="preserve"> </t>
    </r>
    <r>
      <rPr>
        <sz val="11"/>
        <rFont val="BatangChe"/>
        <family val="1"/>
      </rPr>
      <t>입력되어</t>
    </r>
    <r>
      <rPr>
        <sz val="11"/>
        <rFont val="ＭＳ Ｐゴシック"/>
        <family val="2"/>
        <charset val="128"/>
      </rPr>
      <t xml:space="preserve"> </t>
    </r>
    <r>
      <rPr>
        <sz val="11"/>
        <rFont val="BatangChe"/>
        <family val="1"/>
      </rPr>
      <t>있지만</t>
    </r>
    <r>
      <rPr>
        <sz val="11"/>
        <rFont val="ＭＳ Ｐゴシック"/>
        <family val="2"/>
        <charset val="128"/>
      </rPr>
      <t xml:space="preserve"> </t>
    </r>
    <r>
      <rPr>
        <sz val="11"/>
        <rFont val="BatangChe"/>
        <family val="1"/>
      </rPr>
      <t>로컬</t>
    </r>
    <r>
      <rPr>
        <sz val="11"/>
        <rFont val="ＭＳ Ｐゴシック"/>
        <family val="2"/>
        <charset val="128"/>
      </rPr>
      <t xml:space="preserve"> </t>
    </r>
    <r>
      <rPr>
        <sz val="11"/>
        <rFont val="BatangChe"/>
        <family val="1"/>
      </rPr>
      <t>업로드의</t>
    </r>
    <r>
      <rPr>
        <sz val="11"/>
        <rFont val="ＭＳ Ｐゴシック"/>
        <family val="2"/>
        <charset val="128"/>
      </rPr>
      <t xml:space="preserve"> </t>
    </r>
    <r>
      <rPr>
        <sz val="11"/>
        <rFont val="BatangChe"/>
        <family val="1"/>
      </rPr>
      <t>경우는</t>
    </r>
    <r>
      <rPr>
        <sz val="11"/>
        <rFont val="ＭＳ Ｐゴシック"/>
        <family val="2"/>
        <charset val="128"/>
      </rPr>
      <t xml:space="preserve"> </t>
    </r>
    <r>
      <rPr>
        <sz val="11"/>
        <rFont val="BatangChe"/>
        <family val="1"/>
      </rPr>
      <t>공란
필수</t>
    </r>
    <r>
      <rPr>
        <sz val="11"/>
        <rFont val="ＭＳ Ｐゴシック"/>
        <family val="2"/>
        <charset val="128"/>
      </rPr>
      <t xml:space="preserve"> </t>
    </r>
    <r>
      <rPr>
        <sz val="11"/>
        <rFont val="BatangChe"/>
        <family val="1"/>
      </rPr>
      <t>여부</t>
    </r>
    <r>
      <rPr>
        <sz val="11"/>
        <rFont val="ＭＳ Ｐゴシック"/>
        <family val="2"/>
        <charset val="128"/>
      </rPr>
      <t>:</t>
    </r>
    <r>
      <rPr>
        <sz val="11"/>
        <rFont val="BatangChe"/>
        <family val="1"/>
      </rPr>
      <t>필수</t>
    </r>
    <r>
      <rPr>
        <sz val="11"/>
        <rFont val="ＭＳ Ｐゴシック"/>
        <family val="2"/>
        <charset val="128"/>
      </rPr>
      <t>(</t>
    </r>
    <r>
      <rPr>
        <sz val="11"/>
        <rFont val="BatangChe"/>
        <family val="1"/>
      </rPr>
      <t>공란</t>
    </r>
    <r>
      <rPr>
        <sz val="11"/>
        <rFont val="ＭＳ Ｐゴシック"/>
        <family val="2"/>
        <charset val="128"/>
      </rPr>
      <t xml:space="preserve">)
</t>
    </r>
  </si>
  <si>
    <r>
      <t xml:space="preserve">데이터 지시자
</t>
    </r>
    <r>
      <rPr>
        <b/>
        <sz val="14"/>
        <rFont val="맑은 고딕"/>
        <family val="3"/>
      </rPr>
      <t xml:space="preserve">
</t>
    </r>
    <r>
      <rPr>
        <b/>
        <sz val="11"/>
        <rFont val="맑은 고딕"/>
        <family val="3"/>
      </rPr>
      <t>필드 설명: 외부 시스템과 인터페이스 하는 경우 값이 입력된다. 시스템 내부에서 업로드 하는 경우, 공란으로 표시된다.
필수 여부: 필수 (공란)</t>
    </r>
  </si>
  <si>
    <r>
      <rPr>
        <b/>
        <sz val="14"/>
        <rFont val="맑은 고딕"/>
        <family val="3"/>
        <charset val="129"/>
      </rPr>
      <t>회사코드</t>
    </r>
    <r>
      <rPr>
        <sz val="11"/>
        <rFont val="맑은 고딕"/>
        <family val="3"/>
        <charset val="129"/>
      </rPr>
      <t xml:space="preserve">
필드 설명: 사용자의 회사코드 입력한다.
필수 여부: 필수
입력 제한: 4자리 (1Byte 글자 또는 숫자)</t>
    </r>
  </si>
  <si>
    <r>
      <rPr>
        <b/>
        <sz val="14"/>
        <rFont val="맑은 고딕"/>
        <family val="3"/>
        <charset val="129"/>
      </rPr>
      <t>전표 번호</t>
    </r>
    <r>
      <rPr>
        <sz val="11"/>
        <rFont val="맑은 고딕"/>
        <family val="3"/>
        <charset val="129"/>
      </rPr>
      <t xml:space="preserve">
필드 설명: 차/대변 항목에 같은 전표번호를 입력한다.
필수여부: 필수
입력 제한: 3자리 (1Byte 글자 또는 숫자)
시리얼 번호: 1~ 999</t>
    </r>
  </si>
  <si>
    <r>
      <rPr>
        <b/>
        <sz val="14"/>
        <rFont val="맑은 고딕"/>
        <family val="3"/>
        <charset val="129"/>
      </rPr>
      <t>증빙일</t>
    </r>
    <r>
      <rPr>
        <sz val="11"/>
        <rFont val="맑은 고딕"/>
        <family val="3"/>
        <charset val="129"/>
      </rPr>
      <t xml:space="preserve">
필드 설명: 거래 발생일을 입력한다.
필수여부: 필수
입력제한: 날짜 (YYYY/MM/DD)
</t>
    </r>
  </si>
  <si>
    <r>
      <rPr>
        <b/>
        <sz val="14"/>
        <rFont val="맑은 고딕"/>
        <family val="3"/>
        <charset val="129"/>
      </rPr>
      <t xml:space="preserve">전기일
</t>
    </r>
    <r>
      <rPr>
        <sz val="11"/>
        <rFont val="맑은 고딕"/>
        <family val="3"/>
        <charset val="129"/>
      </rPr>
      <t xml:space="preserve">
필드 설명: G/L 전기일을 입력한다.
필수여부: 필수
입력제한: 날짜 (YYYY/MM/DD)
</t>
    </r>
  </si>
  <si>
    <r>
      <rPr>
        <b/>
        <sz val="14"/>
        <rFont val="맑은 고딕"/>
        <family val="3"/>
        <charset val="129"/>
      </rPr>
      <t>전표 유형</t>
    </r>
    <r>
      <rPr>
        <sz val="11"/>
        <rFont val="맑은 고딕"/>
        <family val="3"/>
        <charset val="129"/>
      </rPr>
      <t xml:space="preserve">
필드 설명: 거래 유형을 구분한다.　
필수여부: 필수
입력제한: 2자리 (1Byte 글자 또는 숫자)</t>
    </r>
  </si>
  <si>
    <r>
      <rPr>
        <b/>
        <sz val="14"/>
        <rFont val="맑은 고딕"/>
        <family val="3"/>
        <charset val="129"/>
      </rPr>
      <t>통화 코드</t>
    </r>
    <r>
      <rPr>
        <sz val="11"/>
        <rFont val="맑은 고딕"/>
        <family val="3"/>
        <charset val="129"/>
      </rPr>
      <t xml:space="preserve">
필드 설명: 거래 통화 코드를 입력한다.
필수여부: 필수
입력제한: 5자리 (1Byte 글자 또는 숫자)</t>
    </r>
  </si>
  <si>
    <r>
      <rPr>
        <b/>
        <sz val="14"/>
        <rFont val="맑은 고딕"/>
        <family val="3"/>
        <charset val="129"/>
      </rPr>
      <t>헤더 텍스트</t>
    </r>
    <r>
      <rPr>
        <sz val="11"/>
        <rFont val="맑은 고딕"/>
        <family val="3"/>
        <charset val="129"/>
      </rPr>
      <t xml:space="preserve">
필드 설명: 비고 란
필수여부: 필수
입력제한: 2Byte 글자 30자리까지 (텍스트 필드)</t>
    </r>
  </si>
  <si>
    <r>
      <rPr>
        <b/>
        <sz val="14"/>
        <rFont val="맑은 고딕"/>
        <family val="3"/>
        <charset val="129"/>
      </rPr>
      <t>세금 계산 플래그</t>
    </r>
    <r>
      <rPr>
        <sz val="11"/>
        <rFont val="맑은 고딕"/>
        <family val="3"/>
        <charset val="129"/>
      </rPr>
      <t xml:space="preserve">
필드 설명: 부가가치세 (VAT) 자동 계산시 체크
필수여부: 필수
입력제한: "X" 또는 공란
</t>
    </r>
  </si>
  <si>
    <r>
      <rPr>
        <b/>
        <sz val="14"/>
        <rFont val="맑은 고딕"/>
        <family val="3"/>
        <charset val="129"/>
      </rPr>
      <t>참조 전표 번호</t>
    </r>
    <r>
      <rPr>
        <sz val="11"/>
        <rFont val="맑은 고딕"/>
        <family val="3"/>
        <charset val="129"/>
      </rPr>
      <t xml:space="preserve">
필드 설명: I/F하는 경우 대상 시스템의 전표 및 항목 번호가 자동으로 입력된다. 워크플로우의 경우, 워크플로우 내에서 지정된 전표번호가 자동으로 입력된다
필수여부: 선택
입력제한: 2Byte 글자 16자리까지 (텍스트 필드)</t>
    </r>
  </si>
  <si>
    <r>
      <rPr>
        <b/>
        <sz val="14"/>
        <rFont val="맑은 고딕"/>
        <family val="3"/>
        <charset val="129"/>
      </rPr>
      <t>전기 키</t>
    </r>
    <r>
      <rPr>
        <sz val="11"/>
        <rFont val="맑은 고딕"/>
        <family val="3"/>
        <charset val="129"/>
      </rPr>
      <t xml:space="preserve">
필드 설명: 차/대변 중 어디로 전기될지 관리하는 코드를 입력한다.
필수여부: 필수 
입력제한: 1Byte 숫자 2자리
</t>
    </r>
  </si>
  <si>
    <r>
      <rPr>
        <b/>
        <sz val="14"/>
        <rFont val="맑은 고딕"/>
        <family val="3"/>
        <charset val="129"/>
      </rPr>
      <t xml:space="preserve">고객 코드
</t>
    </r>
    <r>
      <rPr>
        <sz val="11"/>
        <rFont val="맑은 고딕"/>
        <family val="3"/>
        <charset val="129"/>
      </rPr>
      <t xml:space="preserve">
필드 설명: AR의 경우 고객 코드를 입력한다.
필수여부: 선택
입력제한: 10자리 (1Byte 글자 또는 숫자)
</t>
    </r>
  </si>
  <si>
    <r>
      <rPr>
        <b/>
        <sz val="14"/>
        <rFont val="맑은 고딕"/>
        <family val="3"/>
        <charset val="129"/>
      </rPr>
      <t>공급업체 코드</t>
    </r>
    <r>
      <rPr>
        <sz val="11"/>
        <rFont val="맑은 고딕"/>
        <family val="3"/>
        <charset val="129"/>
      </rPr>
      <t xml:space="preserve">
필드 설명: AP의 경우 공급업체 코드 를 입력한다.
필수여부: 선택
입력제한:  10자리 (1Byte 글자 또는 숫자)</t>
    </r>
  </si>
  <si>
    <r>
      <rPr>
        <b/>
        <sz val="14"/>
        <rFont val="맑은 고딕"/>
        <family val="3"/>
        <charset val="129"/>
      </rPr>
      <t>특별 G/L 거래 코드</t>
    </r>
    <r>
      <rPr>
        <sz val="11"/>
        <rFont val="맑은 고딕"/>
        <family val="3"/>
        <charset val="129"/>
      </rPr>
      <t xml:space="preserve">
필드 설명: 공급업체와 연결된 조정계정을 제외한 계정에 전기하는 경우, 특별 G/L 거래 코드를 입력한다. 
필수여부: 선택
입력제한: 1자리 (1Byte 글자 또는 숫자)
</t>
    </r>
  </si>
  <si>
    <r>
      <rPr>
        <b/>
        <sz val="14"/>
        <rFont val="맑은 고딕"/>
        <family val="3"/>
        <charset val="129"/>
      </rPr>
      <t>거래 유형</t>
    </r>
    <r>
      <rPr>
        <sz val="11"/>
        <rFont val="맑은 고딕"/>
        <family val="3"/>
        <charset val="129"/>
      </rPr>
      <t xml:space="preserve">
필드 설명: AA의 트랜잭션 카테고리를 구분하는 거래유형을 입력한다.
필수여부: AA계정일 경우 필수 (120 고정)
입력제한: 3자리 (1Byte 글자 또는 숫자)</t>
    </r>
  </si>
  <si>
    <r>
      <rPr>
        <b/>
        <sz val="14"/>
        <rFont val="맑은 고딕"/>
        <family val="3"/>
        <charset val="129"/>
      </rPr>
      <t>국내 통화액</t>
    </r>
    <r>
      <rPr>
        <sz val="11"/>
        <rFont val="맑은 고딕"/>
        <family val="3"/>
        <charset val="129"/>
      </rPr>
      <t xml:space="preserve">
필드 설명: 회사코드에 지정된 통화 금액 
전표 통화액을 기준으로 자동으로 표시된다.
필수여부: 선택
국내 통화의 경우 필수 아님
해외 통화의 경우, 환율과 다른 값으로 계산할 경우 필수이며, 환율로 계산될 경우엔 필수 아님
입력제한: 1Byte 글자 또는 숫자로 13자리까지
통화 코드가 JPY일 경우, 13자리 정수 (소수점 허용 안함)
통화 코드가 JPY가 아닐 경우, 11자리 정수 + 소수점 이후 2자리 
</t>
    </r>
  </si>
  <si>
    <r>
      <rPr>
        <b/>
        <sz val="14"/>
        <rFont val="맑은 고딕"/>
        <family val="3"/>
        <charset val="129"/>
      </rPr>
      <t>전표 통화 세액</t>
    </r>
    <r>
      <rPr>
        <sz val="11"/>
        <rFont val="맑은 고딕"/>
        <family val="3"/>
        <charset val="129"/>
      </rPr>
      <t xml:space="preserve">
필드 설명: 세액을 전표 통화로 입력한다.
필수여부: 선택
입력제한: 1Byte 글자 또는 숫자로 13자리까지
</t>
    </r>
  </si>
  <si>
    <r>
      <rPr>
        <b/>
        <sz val="14"/>
        <rFont val="맑은 고딕"/>
        <family val="3"/>
        <charset val="129"/>
      </rPr>
      <t>국내 통화 세액</t>
    </r>
    <r>
      <rPr>
        <sz val="11"/>
        <rFont val="맑은 고딕"/>
        <family val="3"/>
        <charset val="129"/>
      </rPr>
      <t xml:space="preserve">
필드 설명: 회사코드에 지정된 통화로 세액을 입력한다.
필수여부: 선택
입력제한: 1Byte 글자 또는 숫자로 13자리까지
</t>
    </r>
  </si>
  <si>
    <r>
      <rPr>
        <b/>
        <sz val="14"/>
        <rFont val="맑은 고딕"/>
        <family val="3"/>
        <charset val="129"/>
      </rPr>
      <t>세금 코드</t>
    </r>
    <r>
      <rPr>
        <sz val="11"/>
        <rFont val="맑은 고딕"/>
        <family val="3"/>
        <charset val="129"/>
      </rPr>
      <t xml:space="preserve">
필드 설명: 세금 계산의 키 코드를 입력한다.
필수여부: 계정 코드에 따라 필수여부가 달라진다.
입력제한: 2자리 (1Byte 글자 또는 숫자)</t>
    </r>
  </si>
  <si>
    <r>
      <rPr>
        <b/>
        <sz val="14"/>
        <rFont val="맑은 고딕"/>
        <family val="3"/>
        <charset val="129"/>
      </rPr>
      <t>코스트센터</t>
    </r>
    <r>
      <rPr>
        <sz val="11"/>
        <rFont val="맑은 고딕"/>
        <family val="3"/>
        <charset val="129"/>
      </rPr>
      <t xml:space="preserve">
필드 설명: 비용을 관리하는 부서를 제어하는 필드이다.
필수여부: 계정 코드에 따라 필수여부가 달라진다.
입력제한: 10자리 (1Byte 글자 또는 숫자)
</t>
    </r>
  </si>
  <si>
    <r>
      <rPr>
        <b/>
        <sz val="14"/>
        <rFont val="맑은 고딕"/>
        <family val="3"/>
        <charset val="129"/>
      </rPr>
      <t>손익센터</t>
    </r>
    <r>
      <rPr>
        <sz val="11"/>
        <rFont val="맑은 고딕"/>
        <family val="3"/>
        <charset val="129"/>
      </rPr>
      <t xml:space="preserve">
필드 설명: 수입을 관리하는 부서를 제어하는 필드이다
필수여부: 계정 코드에 따라 필수여부가 달라진다.
입력제한: 7자리 (1Byte 글자 또는 숫자)</t>
    </r>
  </si>
  <si>
    <r>
      <rPr>
        <b/>
        <sz val="14"/>
        <rFont val="맑은 고딕"/>
        <family val="3"/>
        <charset val="129"/>
      </rPr>
      <t>WBS 코드</t>
    </r>
    <r>
      <rPr>
        <sz val="11"/>
        <rFont val="맑은 고딕"/>
        <family val="3"/>
        <charset val="129"/>
      </rPr>
      <t xml:space="preserve">
필드 설명: WBS 요소를 제어하는 필드이다.
필수여부: 계정 코드에 따라 필수여부가 달라진다.
입력제한: 24자리 (1Byte 글자 또는 숫자)
</t>
    </r>
  </si>
  <si>
    <r>
      <rPr>
        <b/>
        <sz val="14"/>
        <rFont val="맑은 고딕"/>
        <family val="3"/>
        <charset val="129"/>
      </rPr>
      <t>아이템 텍스트</t>
    </r>
    <r>
      <rPr>
        <sz val="11"/>
        <rFont val="맑은 고딕"/>
        <family val="3"/>
        <charset val="129"/>
      </rPr>
      <t xml:space="preserve">
필드 설명: 아이템 별 비고란
아이템 별로 입력 가능하다.
필수여부: 필수
입력제한: 2 Byte 글자로 50자리까지 (텍스트 필드)
</t>
    </r>
  </si>
  <si>
    <r>
      <rPr>
        <b/>
        <sz val="14"/>
        <rFont val="맑은 고딕"/>
        <family val="3"/>
        <charset val="129"/>
      </rPr>
      <t>지정(Assignment)</t>
    </r>
    <r>
      <rPr>
        <sz val="11"/>
        <rFont val="맑은 고딕"/>
        <family val="3"/>
        <charset val="129"/>
      </rPr>
      <t xml:space="preserve">
필드 설명: 계정코드에 따라 변경된다.
- 원가 요소 코드
- 손익센터 코드
- 입고 시 회계전표 번호
- 아이템 번호
필수여부: 계정 코드에 따라 필수여부가 달라진다.
입력제한: 18자리 (1Byte 글자 또는 숫자)
</t>
    </r>
  </si>
  <si>
    <r>
      <rPr>
        <b/>
        <sz val="14"/>
        <rFont val="맑은 고딕"/>
        <family val="3"/>
        <charset val="129"/>
      </rPr>
      <t>참조 키 1</t>
    </r>
    <r>
      <rPr>
        <sz val="11"/>
        <rFont val="맑은 고딕"/>
        <family val="3"/>
        <charset val="129"/>
      </rPr>
      <t xml:space="preserve">
필드 설명: 상대 항목의 계정을 자동으로 지정한다.
필수여부: 선택
입력제한: 12자리 (1Byte 글자 또는 숫자)</t>
    </r>
  </si>
  <si>
    <r>
      <rPr>
        <b/>
        <sz val="14"/>
        <rFont val="맑은 고딕"/>
        <family val="3"/>
        <charset val="129"/>
      </rPr>
      <t>참조 키 2</t>
    </r>
    <r>
      <rPr>
        <sz val="11"/>
        <rFont val="맑은 고딕"/>
        <family val="3"/>
        <charset val="129"/>
      </rPr>
      <t xml:space="preserve">
필드 설명: 대상 품목에 연결된 공급업체 코드를 자동으로 지정한다.
필수여부: 필수
입력제한: 10자리 (1Byte 글자)
</t>
    </r>
  </si>
  <si>
    <r>
      <rPr>
        <b/>
        <sz val="14"/>
        <rFont val="맑은 고딕"/>
        <family val="3"/>
        <charset val="129"/>
      </rPr>
      <t>참조 키 3</t>
    </r>
    <r>
      <rPr>
        <sz val="11"/>
        <rFont val="맑은 고딕"/>
        <family val="3"/>
        <charset val="129"/>
      </rPr>
      <t xml:space="preserve">
필드 설명: 해외 통화를 사용하는 AP의 경우 송장번호를 입력한다.
필수여부: 선택
입력제한: 20자리 (1Byte 글자 또는 숫자)</t>
    </r>
  </si>
  <si>
    <r>
      <rPr>
        <b/>
        <sz val="14"/>
        <rFont val="맑은 고딕"/>
        <family val="3"/>
        <charset val="129"/>
      </rPr>
      <t xml:space="preserve">원천세 코드
</t>
    </r>
    <r>
      <rPr>
        <sz val="11"/>
        <rFont val="맑은 고딕"/>
        <family val="3"/>
        <charset val="129"/>
      </rPr>
      <t xml:space="preserve">
필드 설명: 예수금 계정에 자동으로 전기하는 경우 사용되는 코드
필수여부: 선택
입력제한: 2자리 (1Byte 글자 또는 숫자)
10: 행정서사에 청구
20: 지시자에 청구
</t>
    </r>
  </si>
  <si>
    <r>
      <rPr>
        <b/>
        <sz val="14"/>
        <rFont val="맑은 고딕"/>
        <family val="3"/>
        <charset val="129"/>
      </rPr>
      <t>원천세액</t>
    </r>
    <r>
      <rPr>
        <sz val="11"/>
        <rFont val="맑은 고딕"/>
        <family val="3"/>
        <charset val="129"/>
      </rPr>
      <t xml:space="preserve">
자동으로 계산되기 때문에 입력할 필요 없음
입력제한: 1Byte 숫자 또는 글짜로 13자리 까지</t>
    </r>
  </si>
  <si>
    <r>
      <rPr>
        <b/>
        <sz val="14"/>
        <rFont val="맑은 고딕"/>
        <family val="3"/>
        <charset val="129"/>
      </rPr>
      <t>지급조건</t>
    </r>
    <r>
      <rPr>
        <sz val="11"/>
        <rFont val="맑은 고딕"/>
        <family val="3"/>
        <charset val="129"/>
      </rPr>
      <t xml:space="preserve">
필드 설명: 증빙일과 함께 지급 기준일을 산출하기 위해 사이트 제어와 지급방법 결정을 한꺼번에 처리한다.
필수여부: 필수
입력제한: 4자리 (1Byte 글자 또는 숫자)
</t>
    </r>
  </si>
  <si>
    <r>
      <rPr>
        <b/>
        <sz val="14"/>
        <rFont val="맑은 고딕"/>
        <family val="3"/>
        <charset val="129"/>
      </rPr>
      <t>지급 기준일</t>
    </r>
    <r>
      <rPr>
        <sz val="11"/>
        <rFont val="맑은 고딕"/>
        <family val="3"/>
        <charset val="129"/>
      </rPr>
      <t xml:space="preserve">
필드 설명: 에정된 지급일을 입력한다.
필수여부: 선택
증빙일과 지급조건을 기준으로 자동으로 산출된 지급기준일과 다른 날자를 입력할 경우 필수 
입력제한: 날짜 (YYYY/MM/DD)</t>
    </r>
  </si>
  <si>
    <r>
      <rPr>
        <b/>
        <sz val="14"/>
        <rFont val="맑은 고딕"/>
        <family val="3"/>
        <charset val="129"/>
      </rPr>
      <t>지급 방법</t>
    </r>
    <r>
      <rPr>
        <sz val="11"/>
        <rFont val="맑은 고딕"/>
        <family val="3"/>
        <charset val="129"/>
      </rPr>
      <t xml:space="preserve">
필드 설명: 지급 방법을 제어하는 필드이다. (지급조건을 기준으로 자동으로 표시됨)
필수여부: 선택
입력제한: 1자리 (1Byte 글자 또는 숫자)</t>
    </r>
  </si>
  <si>
    <r>
      <rPr>
        <b/>
        <sz val="14"/>
        <rFont val="맑은 고딕"/>
        <family val="3"/>
        <charset val="129"/>
      </rPr>
      <t>지급 보류</t>
    </r>
    <r>
      <rPr>
        <sz val="11"/>
        <rFont val="맑은 고딕"/>
        <family val="3"/>
        <charset val="129"/>
      </rPr>
      <t xml:space="preserve">
필드 설명: 자동으로 지급되지 않는 아이템에 대해 입력한다.
필수여부: 선택
입력제한: A(보류) 또는 공란</t>
    </r>
  </si>
  <si>
    <r>
      <rPr>
        <b/>
        <sz val="14"/>
        <rFont val="맑은 고딕"/>
        <family val="3"/>
        <charset val="129"/>
      </rPr>
      <t>거래 은행 ID</t>
    </r>
    <r>
      <rPr>
        <sz val="11"/>
        <rFont val="맑은 고딕"/>
        <family val="3"/>
        <charset val="129"/>
      </rPr>
      <t xml:space="preserve">
필드 설명: 송금 은행이 결정됐을 경우 입력한다. (공급업체 마스터에 선택사항으로 입력한 거래은행과 다를 경우 입력)
필수여부: 선택
입력제한: 5자리 (1Byte 글자 또는 숫자)</t>
    </r>
  </si>
  <si>
    <r>
      <rPr>
        <b/>
        <sz val="14"/>
        <rFont val="맑은 고딕"/>
        <family val="3"/>
        <charset val="129"/>
      </rPr>
      <t>자재 번호</t>
    </r>
    <r>
      <rPr>
        <sz val="11"/>
        <rFont val="맑은 고딕"/>
        <family val="3"/>
        <charset val="129"/>
      </rPr>
      <t xml:space="preserve">
필드 설명: 재고/구매관리에 사용되는 자재 번호를 제어하는 필드이다.
필수여부: 선택
입력제한: 18자리 (1Byte 글자 또는 숫자)</t>
    </r>
  </si>
  <si>
    <r>
      <rPr>
        <b/>
        <sz val="14"/>
        <rFont val="맑은 고딕"/>
        <family val="3"/>
        <charset val="129"/>
      </rPr>
      <t>수량</t>
    </r>
    <r>
      <rPr>
        <sz val="11"/>
        <rFont val="맑은 고딕"/>
        <family val="3"/>
        <charset val="129"/>
      </rPr>
      <t xml:space="preserve">
필드 설명: 자재 수량을 입력한다.
필수여부: 선택
입력제한: 14자리 (1Byte 글자 또는 숫자)</t>
    </r>
  </si>
  <si>
    <r>
      <rPr>
        <b/>
        <sz val="14"/>
        <rFont val="맑은 고딕"/>
        <family val="3"/>
        <charset val="129"/>
      </rPr>
      <t>수량 단위</t>
    </r>
    <r>
      <rPr>
        <sz val="11"/>
        <rFont val="맑은 고딕"/>
        <family val="3"/>
        <charset val="129"/>
      </rPr>
      <t xml:space="preserve">
필드 설명: 자새 수량에 대한 단위를 입력한다.
필수여부: 수량을 입력할 경우에만 필수 
입력제한: 3자리 (1Byte 글자 또는 숫자)</t>
    </r>
  </si>
  <si>
    <r>
      <rPr>
        <b/>
        <sz val="14"/>
        <rFont val="맑은 고딕"/>
        <family val="3"/>
        <charset val="129"/>
      </rPr>
      <t>기능 영역</t>
    </r>
    <r>
      <rPr>
        <sz val="11"/>
        <rFont val="맑은 고딕"/>
        <family val="3"/>
        <charset val="129"/>
      </rPr>
      <t xml:space="preserve">
필드 설명: IFRS 재분류 계정일 경우, IFRS 발생 요인을 구분하는 코드를 입력한다.
필수여부: 선택
입력제한: 아래 중 선택
10 : Financial instruments (금융상품)
20 : Leases (리스)
30 : Rtrmnt bnfts for emplys (퇴직급여)
40 : Currency Translation adj (통화 환산 조정)
90 : Others (기타)</t>
    </r>
  </si>
  <si>
    <r>
      <rPr>
        <b/>
        <sz val="14"/>
        <rFont val="맑은 고딕"/>
        <family val="3"/>
        <charset val="129"/>
      </rPr>
      <t>특별 정렬 키</t>
    </r>
    <r>
      <rPr>
        <sz val="11"/>
        <rFont val="맑은 고딕"/>
        <family val="3"/>
        <charset val="129"/>
      </rPr>
      <t xml:space="preserve">
입력할 필요 없음</t>
    </r>
  </si>
  <si>
    <r>
      <rPr>
        <b/>
        <sz val="14"/>
        <rFont val="맑은 고딕"/>
        <family val="3"/>
        <charset val="129"/>
      </rPr>
      <t>독촉 키</t>
    </r>
    <r>
      <rPr>
        <sz val="11"/>
        <rFont val="맑은 고딕"/>
        <family val="3"/>
        <charset val="129"/>
      </rPr>
      <t xml:space="preserve">
필드 설명: 담당 계약 코드를 입력한다.
필수여부: 선택
입력제한: 1자리 (1Byte 글자 또는 숫자)
</t>
    </r>
  </si>
  <si>
    <r>
      <rPr>
        <b/>
        <sz val="14"/>
        <rFont val="맑은 고딕"/>
        <family val="3"/>
        <charset val="129"/>
      </rPr>
      <t>독촉 영역</t>
    </r>
    <r>
      <rPr>
        <sz val="11"/>
        <rFont val="맑은 고딕"/>
        <family val="3"/>
        <charset val="129"/>
      </rPr>
      <t xml:space="preserve">
필드 설명: "Subcontract Act" 플래그 입력
필수여부: 선택
입력제한: 2자리 (1Byte 글자 또는 숫자)
</t>
    </r>
  </si>
  <si>
    <r>
      <rPr>
        <b/>
        <sz val="14"/>
        <rFont val="맑은 고딕"/>
        <family val="3"/>
        <charset val="129"/>
      </rPr>
      <t xml:space="preserve">독촉 보류
</t>
    </r>
    <r>
      <rPr>
        <sz val="11"/>
        <rFont val="맑은 고딕"/>
        <family val="3"/>
        <charset val="129"/>
      </rPr>
      <t xml:space="preserve">
필드 설명: 지급완료 자재 공급 플래그 입력
필수여부: 선택
입력제한: 1자리 (1Byte 글자 또는 숫자)
</t>
    </r>
  </si>
  <si>
    <r>
      <t xml:space="preserve">일회성 이름 1
</t>
    </r>
    <r>
      <rPr>
        <sz val="11"/>
        <rFont val="맑은 고딕"/>
        <family val="3"/>
        <charset val="129"/>
      </rPr>
      <t xml:space="preserve">
필드 설명: 일회성 공급업체 이름을 입력한다.
필수여부: 일회성 공급업체일 경우에만 필수
입력제한: 35자리 (2Byte 글자)</t>
    </r>
  </si>
  <si>
    <r>
      <t xml:space="preserve">일회성 이름 3
</t>
    </r>
    <r>
      <rPr>
        <sz val="11"/>
        <rFont val="맑은 고딕"/>
        <family val="3"/>
        <charset val="129"/>
      </rPr>
      <t>필드 설명: 일회성 공급업체의 계정 보유자를 입력한다.
필수여부: 일회성 공급업체일 경우에만 필수
입력제한: 35자리 (1Byte 글자)</t>
    </r>
  </si>
  <si>
    <r>
      <t xml:space="preserve">일회성 우편번호
</t>
    </r>
    <r>
      <rPr>
        <sz val="11"/>
        <rFont val="맑은 고딕"/>
        <family val="3"/>
        <charset val="129"/>
      </rPr>
      <t>필드 설명: 일회성 공급업체의 우편번호를 입력한다.
필수여부: 선택
입력제한: 10자리 (1Byte 글자)</t>
    </r>
  </si>
  <si>
    <r>
      <t xml:space="preserve">일회성 시
</t>
    </r>
    <r>
      <rPr>
        <sz val="11"/>
        <rFont val="맑은 고딕"/>
        <family val="3"/>
        <charset val="129"/>
      </rPr>
      <t>필드 설명: 일회성 공급업체의 주소 정보를 입력한다.
필수여부: 일회성 공급업체일 경우에만 필수
입력제한: 35자리 (2Byte 글자)</t>
    </r>
  </si>
  <si>
    <r>
      <t xml:space="preserve">일회성 국가
</t>
    </r>
    <r>
      <rPr>
        <sz val="11"/>
        <rFont val="맑은 고딕"/>
        <family val="3"/>
        <charset val="129"/>
      </rPr>
      <t>필드 설명: 일회성 공급업체의 국가정보를 입력한다.
필수여부: 일회성 공급업체일 경우에만 필수
입력제한: 35자리 (2Byte 글자)</t>
    </r>
  </si>
  <si>
    <r>
      <t xml:space="preserve">일회성 지역
</t>
    </r>
    <r>
      <rPr>
        <sz val="11"/>
        <rFont val="맑은 고딕"/>
        <family val="3"/>
        <charset val="129"/>
      </rPr>
      <t>필드 설명: 일회성 공급업체의 지역 정보를 입력한다.
필수여부: 일회성 공급업체일 경우에만 필수
입력제한: 2자리 (1Byte 글자 또는 숫자)</t>
    </r>
  </si>
  <si>
    <r>
      <t xml:space="preserve">일회성 계정번호
</t>
    </r>
    <r>
      <rPr>
        <sz val="11"/>
        <rFont val="맑은 고딕"/>
        <family val="3"/>
        <charset val="129"/>
      </rPr>
      <t>필드 설명: 일회성 공급업체의 은행 계정번호를 입력한다.
필수여부: 일회성 공급업체일 경우에만 필수
입력제한: 7자리 (1Byte 숫자)</t>
    </r>
  </si>
  <si>
    <r>
      <t xml:space="preserve">일회성 은행 코드
</t>
    </r>
    <r>
      <rPr>
        <sz val="11"/>
        <rFont val="맑은 고딕"/>
        <family val="3"/>
        <charset val="129"/>
      </rPr>
      <t>필드 설명: 일회성 공급업체의 은행 코드를 입력한다.
필수여부: 일회성 공급업체일 경우에만 필수
입력제한: 7자리 (1Byte 숫자)</t>
    </r>
  </si>
  <si>
    <r>
      <t xml:space="preserve">일회성 은행 국가번호
</t>
    </r>
    <r>
      <rPr>
        <sz val="11"/>
        <rFont val="맑은 고딕"/>
        <family val="3"/>
        <charset val="129"/>
      </rPr>
      <t>필드 설명: 일회성 공급업체의 은행 국가번호를 입력한다.
필수여부: 일회성 공급업체일 경우에만 필수
입력제한: 3자리 (1Byte 숫자)</t>
    </r>
  </si>
  <si>
    <r>
      <t xml:space="preserve">일회성 제어키
</t>
    </r>
    <r>
      <rPr>
        <sz val="11"/>
        <rFont val="맑은 고딕"/>
        <family val="3"/>
        <charset val="129"/>
      </rPr>
      <t>필드 설명: 일회성 공급업체의 은행 제어 키를 입력한다.
필수여부: 일회성 공급업체일 경우에만 필수
입력제한: 아래 두가지 항목 중 선택
01: 일반 계정
02: 당좌 계정</t>
    </r>
  </si>
  <si>
    <r>
      <t xml:space="preserve">일회성 명령키
</t>
    </r>
    <r>
      <rPr>
        <sz val="11"/>
        <rFont val="맑은 고딕"/>
        <family val="3"/>
        <charset val="129"/>
      </rPr>
      <t>필드 설명: 일회성 공급업체의 명령 키를 입력한다.
필수여부: 일회성 공급업체일 경우에만 필수
입력제한: 아레 세가지 항목 중 선택
01: 당사 부담
02: 상대방 부담
09: 기타</t>
    </r>
  </si>
  <si>
    <r>
      <t xml:space="preserve">일회성 언어키
</t>
    </r>
    <r>
      <rPr>
        <sz val="11"/>
        <rFont val="맑은 고딕"/>
        <family val="3"/>
        <charset val="129"/>
      </rPr>
      <t>필드 설명: 일회성 공급업체의 언어 키를 입력한다.
필수여부: 선택
입력제한: 3자리 (1Byte 글자 또는 숫자)</t>
    </r>
  </si>
  <si>
    <r>
      <t xml:space="preserve">특별 기간
</t>
    </r>
    <r>
      <rPr>
        <sz val="11"/>
        <rFont val="맑은 고딕"/>
        <family val="3"/>
        <charset val="129"/>
      </rPr>
      <t>필드 설명: 특별 기간에 입력하는 경우에만 입력한다.
필수여부: 선택
입력제한: 6자리 (1Byte 숫자)</t>
    </r>
  </si>
  <si>
    <r>
      <t>전표 통화세무 표준액</t>
    </r>
    <r>
      <rPr>
        <sz val="11"/>
        <rFont val="맑은 고딕"/>
        <family val="3"/>
        <charset val="129"/>
      </rPr>
      <t xml:space="preserve">
필드 설명: 부가가치세의 가계정에 대한 과세 기준 금액을 전표 통화로 입력한다.
필수여부: 부가가치세 (VAT)의 경우에만 필수
입력제한: 13자리까지 (1Byte 숫자)
통화 코드가 JPY일 경우, 13자리 정수 (소수점 허용 안함)
통화 코드가 JPY가 아닐 경우, 11자리 정수 + 소수점 이후 2자리 
</t>
    </r>
  </si>
  <si>
    <r>
      <t xml:space="preserve">국내 통화세무 표준액
</t>
    </r>
    <r>
      <rPr>
        <sz val="11"/>
        <rFont val="맑은 고딕"/>
        <family val="3"/>
        <charset val="129"/>
      </rPr>
      <t xml:space="preserve">
필드 설명: 부가가치세의 가계정에 대한 과세 기준 금액을 국내 통화로 입력한다.
필수여부: 국내 통화액으로 계산된 수입 부가가치세(VAT)의 경우에만 필수
입력제한: 13자리까지 (1Byte 숫자)
통화 코드가 JPY일 경우, 13자리 정수 (소수점 허용 안함)
통화 코드가 JPY가 아닐 경우, 11자리 정수 + 소수점 이후 2자리 </t>
    </r>
  </si>
  <si>
    <r>
      <t xml:space="preserve">원천세 표준액
</t>
    </r>
    <r>
      <rPr>
        <sz val="11"/>
        <rFont val="맑은 고딕"/>
        <family val="3"/>
        <charset val="129"/>
      </rPr>
      <t xml:space="preserve">
필드 설명: 공급업체가 해당하는 경우에 원천세 과세 기준 금액을 입력한다.
필수여부: 원천세가 입력됐을 경우에만 필수
입력제한: 13자리까지 (1Byte 숫자)
통화 코드가 JPY일 경우, 13자리 정수 (소수점 허용 안함)
통화 코드가 JPY가 아닐 경우, 11자리 정수 + 소수점 이후 2자리 </t>
    </r>
  </si>
  <si>
    <r>
      <t xml:space="preserve">사업장
</t>
    </r>
    <r>
      <rPr>
        <sz val="11"/>
        <rFont val="맑은 고딕"/>
        <family val="3"/>
        <charset val="129"/>
      </rPr>
      <t xml:space="preserve">
필드 설명: 지사 별로 해당 국가의 요건에 맞게 VAT(부가가치세) 레포트 또는 원천세 레포트를 제출해야 하는 경우 사업장 코드를 입력한다.
필수여부: 사업장을 사용하고 전표 유형이 K* 또는 D*일 경우 필수
입력제한: 4자리 까지 (1Byte 글자 또는 숫자)</t>
    </r>
  </si>
  <si>
    <t>제조원가</t>
    <phoneticPr fontId="47" type="noConversion"/>
  </si>
  <si>
    <t>일반관리비원가</t>
    <phoneticPr fontId="47" type="noConversion"/>
  </si>
  <si>
    <t>무형자산상각비(P)</t>
  </si>
  <si>
    <t>인원수 카운트 후 배부율 정함</t>
    <phoneticPr fontId="49"/>
  </si>
  <si>
    <t>기본적으로는 연초에 정한 배부율을 1년간 사용하지만</t>
    <phoneticPr fontId="49"/>
  </si>
  <si>
    <t xml:space="preserve">일반관리 인원에 큰 변동이 있을 경우에는 </t>
    <phoneticPr fontId="49"/>
  </si>
  <si>
    <t>기중에 배부율을 재계산하여 적용함</t>
    <phoneticPr fontId="49"/>
  </si>
  <si>
    <t>4Z900 홍보</t>
  </si>
  <si>
    <t>4Z900K1</t>
  </si>
  <si>
    <t>자재 구매</t>
  </si>
  <si>
    <t>자재구매(일반)</t>
  </si>
  <si>
    <t>환경 안전</t>
  </si>
  <si>
    <t>환경안전(일반)</t>
  </si>
  <si>
    <t>파견 사원 사택</t>
  </si>
  <si>
    <t>파견 사원 사택(일반)</t>
  </si>
  <si>
    <t>사원 독신료</t>
  </si>
  <si>
    <t>사원 독신료(일반)</t>
  </si>
  <si>
    <t>식당</t>
  </si>
  <si>
    <t>식당(일반)</t>
  </si>
  <si>
    <t>GUARD HOUSE</t>
  </si>
  <si>
    <t>GUARD HOUSE(일반)</t>
  </si>
  <si>
    <t>보험료(P)</t>
  </si>
  <si>
    <t>*</t>
    <phoneticPr fontId="49"/>
  </si>
  <si>
    <t>013</t>
  </si>
  <si>
    <t>임차료(P)</t>
  </si>
  <si>
    <t>교육훈련비(P)</t>
  </si>
  <si>
    <t>여비교통비(P)</t>
  </si>
  <si>
    <t>090</t>
  </si>
  <si>
    <t>차량유지비(P)</t>
  </si>
  <si>
    <t>법정 복리비용(P)</t>
  </si>
  <si>
    <t>수도광열비(P) LNG</t>
  </si>
  <si>
    <t>024</t>
  </si>
  <si>
    <t>수도광열비(P) 일반전력</t>
  </si>
  <si>
    <t>수도광열비(P) 공업용수</t>
  </si>
  <si>
    <t>001</t>
  </si>
  <si>
    <t>수도광열비(P) 상수</t>
  </si>
  <si>
    <t>002</t>
  </si>
  <si>
    <t>도서구입비(P)</t>
  </si>
  <si>
    <t>039</t>
  </si>
  <si>
    <t>전력비(P)</t>
  </si>
  <si>
    <t>011</t>
  </si>
  <si>
    <t>행사비(P)</t>
  </si>
  <si>
    <t>026</t>
  </si>
  <si>
    <t>조사연구비(P)</t>
  </si>
  <si>
    <t>공정소모품비(P) 기타</t>
  </si>
  <si>
    <t xml:space="preserve">1월 급여대장에서 원가센터자료 가져와서 </t>
    <phoneticPr fontId="49"/>
  </si>
  <si>
    <t>4Z890K1</t>
  </si>
  <si>
    <t>4Z890 전임노조</t>
  </si>
  <si>
    <t>공통인원=자재창고,자재구매,환경안전</t>
    <phoneticPr fontId="50" type="noConversion"/>
  </si>
  <si>
    <t>L0AKR01</t>
  </si>
  <si>
    <t>감가상각비(P)</t>
  </si>
  <si>
    <t>AFK_경리재무/조혜정</t>
  </si>
  <si>
    <r>
      <t># 26</t>
    </r>
    <r>
      <rPr>
        <sz val="10"/>
        <color theme="1"/>
        <rFont val="맑은 고딕"/>
        <family val="2"/>
        <charset val="129"/>
      </rPr>
      <t>년</t>
    </r>
    <r>
      <rPr>
        <sz val="10"/>
        <color theme="1"/>
        <rFont val="맑은 고딕"/>
        <family val="3"/>
        <charset val="128"/>
        <scheme val="minor"/>
      </rPr>
      <t xml:space="preserve"> 1</t>
    </r>
    <r>
      <rPr>
        <sz val="10"/>
        <color theme="1"/>
        <rFont val="맑은 고딕"/>
        <family val="2"/>
        <charset val="129"/>
      </rPr>
      <t>월</t>
    </r>
    <r>
      <rPr>
        <sz val="10"/>
        <color theme="1"/>
        <rFont val="맑은 고딕"/>
        <family val="3"/>
        <charset val="128"/>
        <scheme val="minor"/>
      </rPr>
      <t xml:space="preserve"> 20</t>
    </r>
    <r>
      <rPr>
        <sz val="10"/>
        <color theme="1"/>
        <rFont val="맑은 고딕"/>
        <family val="2"/>
        <charset val="129"/>
      </rPr>
      <t>일</t>
    </r>
    <r>
      <rPr>
        <sz val="10"/>
        <color theme="1"/>
        <rFont val="맑은 고딕"/>
        <family val="3"/>
        <charset val="128"/>
        <scheme val="minor"/>
      </rPr>
      <t xml:space="preserve"> </t>
    </r>
    <r>
      <rPr>
        <sz val="10"/>
        <color theme="1"/>
        <rFont val="맑은 고딕"/>
        <family val="2"/>
        <charset val="129"/>
      </rPr>
      <t>기준으로</t>
    </r>
    <r>
      <rPr>
        <sz val="10"/>
        <color theme="1"/>
        <rFont val="맑은 고딕"/>
        <family val="3"/>
        <charset val="128"/>
        <scheme val="minor"/>
      </rPr>
      <t xml:space="preserve"> </t>
    </r>
    <r>
      <rPr>
        <sz val="10"/>
        <color theme="1"/>
        <rFont val="맑은 고딕"/>
        <family val="2"/>
        <charset val="129"/>
      </rPr>
      <t>작성</t>
    </r>
    <r>
      <rPr>
        <sz val="10"/>
        <color theme="1"/>
        <rFont val="맑은 고딕"/>
        <family val="3"/>
        <charset val="128"/>
        <scheme val="minor"/>
      </rPr>
      <t>(</t>
    </r>
    <r>
      <rPr>
        <sz val="10"/>
        <color theme="1"/>
        <rFont val="맑은 고딕"/>
        <family val="2"/>
        <charset val="129"/>
      </rPr>
      <t>파견제외</t>
    </r>
    <r>
      <rPr>
        <sz val="10"/>
        <color theme="1"/>
        <rFont val="맑은 고딕"/>
        <family val="3"/>
        <charset val="128"/>
        <scheme val="minor"/>
      </rPr>
      <t>)</t>
    </r>
    <phoneticPr fontId="50" type="noConversion"/>
  </si>
  <si>
    <t>*</t>
  </si>
  <si>
    <t>통신비(P)</t>
  </si>
  <si>
    <t>수선비(P)</t>
  </si>
  <si>
    <t>운반비(P)</t>
  </si>
  <si>
    <t>접대비(P)</t>
  </si>
  <si>
    <t>회식비(P)</t>
  </si>
  <si>
    <t>세금과공과(P)</t>
  </si>
  <si>
    <t>잡비(P)</t>
  </si>
  <si>
    <t>부서명</t>
    <phoneticPr fontId="47" type="noConversion"/>
  </si>
  <si>
    <t>계정명</t>
    <phoneticPr fontId="47" type="noConversion"/>
  </si>
  <si>
    <t>요소분류</t>
    <phoneticPr fontId="47" type="noConversion"/>
  </si>
  <si>
    <t/>
  </si>
  <si>
    <t>4202550100</t>
    <phoneticPr fontId="47" type="noConversion"/>
  </si>
  <si>
    <t>4202150000</t>
    <phoneticPr fontId="47" type="noConversion"/>
  </si>
  <si>
    <t>1</t>
  </si>
  <si>
    <t>SA</t>
  </si>
  <si>
    <t>0000</t>
  </si>
  <si>
    <t>일반관리배부율</t>
    <phoneticPr fontId="47" type="noConversion"/>
  </si>
  <si>
    <r>
      <rPr>
        <b/>
        <sz val="14"/>
        <rFont val="맑은 고딕"/>
        <family val="3"/>
        <charset val="129"/>
        <scheme val="minor"/>
      </rPr>
      <t>계정 코드</t>
    </r>
    <r>
      <rPr>
        <sz val="11"/>
        <rFont val="맑은 고딕"/>
        <family val="3"/>
        <charset val="129"/>
        <scheme val="minor"/>
      </rPr>
      <t xml:space="preserve">
필드 설명: 전기 계정 코드를 입력한다.
필수여부:  필수</t>
    </r>
  </si>
  <si>
    <r>
      <rPr>
        <sz val="11"/>
        <rFont val="맑은 고딕"/>
        <family val="3"/>
        <charset val="129"/>
      </rPr>
      <t xml:space="preserve">전표 통화액
필드 설명: 거래 금액을 지정해놓은 전표 통화로 표시
필수여부: 필수
입력제한: 13자리 (1Byte 글자 또는 숫자)
통화 코드가 JPY일 경우, 13자리 정수 (소수점 허용 안함)
통화 코드가 JPY가 아닐 경우, 11자리 정수 + 소수점 이후 2자리 </t>
    </r>
  </si>
  <si>
    <t>제조비용만 조회 (42*)</t>
    <phoneticPr fontId="47" type="noConversion"/>
  </si>
  <si>
    <t>2026/06/30</t>
  </si>
  <si>
    <t>26.06_共通 經費 代替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</si>
</sst>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0.0%"/>
    <numFmt numFmtId="177" formatCode="0.0000%"/>
  </numFmts>
  <fonts count="96">
    <font>
      <sz val="10"/>
      <name val="Arial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name val="Arial"/>
      <family val="2"/>
    </font>
    <font>
      <sz val="10"/>
      <name val="Arial"/>
      <family val="2"/>
    </font>
    <font>
      <sz val="8"/>
      <name val="돋움"/>
      <family val="3"/>
      <charset val="129"/>
    </font>
    <font>
      <sz val="11"/>
      <color rgb="FF333333"/>
      <name val="맑은 고딕"/>
      <family val="2"/>
      <charset val="129"/>
      <scheme val="minor"/>
    </font>
    <font>
      <sz val="6"/>
      <name val="ＭＳ Ｐゴシック"/>
      <family val="3"/>
      <charset val="128"/>
    </font>
    <font>
      <sz val="8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sz val="11"/>
      <color theme="1"/>
      <name val="맑은 고딕"/>
      <family val="2"/>
      <charset val="128"/>
      <scheme val="minor"/>
    </font>
    <font>
      <sz val="18"/>
      <color theme="3"/>
      <name val="맑은 고딕"/>
      <family val="2"/>
      <charset val="128"/>
      <scheme val="major"/>
    </font>
    <font>
      <b/>
      <sz val="15"/>
      <color theme="3"/>
      <name val="맑은 고딕"/>
      <family val="2"/>
      <charset val="128"/>
      <scheme val="minor"/>
    </font>
    <font>
      <b/>
      <sz val="13"/>
      <color theme="3"/>
      <name val="맑은 고딕"/>
      <family val="2"/>
      <charset val="128"/>
      <scheme val="minor"/>
    </font>
    <font>
      <b/>
      <sz val="11"/>
      <color theme="3"/>
      <name val="맑은 고딕"/>
      <family val="2"/>
      <charset val="128"/>
      <scheme val="minor"/>
    </font>
    <font>
      <sz val="11"/>
      <color rgb="FF006100"/>
      <name val="맑은 고딕"/>
      <family val="2"/>
      <charset val="128"/>
      <scheme val="minor"/>
    </font>
    <font>
      <sz val="11"/>
      <color rgb="FF9C0006"/>
      <name val="맑은 고딕"/>
      <family val="2"/>
      <charset val="128"/>
      <scheme val="minor"/>
    </font>
    <font>
      <sz val="11"/>
      <color rgb="FF9C6500"/>
      <name val="맑은 고딕"/>
      <family val="2"/>
      <charset val="128"/>
      <scheme val="minor"/>
    </font>
    <font>
      <sz val="11"/>
      <color rgb="FF3F3F76"/>
      <name val="맑은 고딕"/>
      <family val="2"/>
      <charset val="128"/>
      <scheme val="minor"/>
    </font>
    <font>
      <b/>
      <sz val="11"/>
      <color rgb="FF3F3F3F"/>
      <name val="맑은 고딕"/>
      <family val="2"/>
      <charset val="128"/>
      <scheme val="minor"/>
    </font>
    <font>
      <b/>
      <sz val="11"/>
      <color rgb="FFFA7D00"/>
      <name val="맑은 고딕"/>
      <family val="2"/>
      <charset val="128"/>
      <scheme val="minor"/>
    </font>
    <font>
      <sz val="11"/>
      <color rgb="FFFA7D00"/>
      <name val="맑은 고딕"/>
      <family val="2"/>
      <charset val="128"/>
      <scheme val="minor"/>
    </font>
    <font>
      <b/>
      <sz val="11"/>
      <color theme="0"/>
      <name val="맑은 고딕"/>
      <family val="2"/>
      <charset val="128"/>
      <scheme val="minor"/>
    </font>
    <font>
      <sz val="11"/>
      <color rgb="FFFF0000"/>
      <name val="맑은 고딕"/>
      <family val="2"/>
      <charset val="128"/>
      <scheme val="minor"/>
    </font>
    <font>
      <i/>
      <sz val="11"/>
      <color rgb="FF7F7F7F"/>
      <name val="맑은 고딕"/>
      <family val="2"/>
      <charset val="128"/>
      <scheme val="minor"/>
    </font>
    <font>
      <b/>
      <sz val="11"/>
      <color theme="1"/>
      <name val="맑은 고딕"/>
      <family val="2"/>
      <charset val="128"/>
      <scheme val="minor"/>
    </font>
    <font>
      <sz val="11"/>
      <color theme="0"/>
      <name val="맑은 고딕"/>
      <family val="2"/>
      <charset val="128"/>
      <scheme val="minor"/>
    </font>
    <font>
      <sz val="11"/>
      <color theme="1"/>
      <name val="맑은 고딕"/>
      <family val="3"/>
      <charset val="129"/>
      <scheme val="minor"/>
    </font>
    <font>
      <sz val="11"/>
      <name val="ＭＳ Ｐゴシック"/>
      <family val="2"/>
      <charset val="128"/>
    </font>
    <font>
      <b/>
      <sz val="14"/>
      <name val="ＭＳ Ｐゴシック"/>
      <family val="2"/>
      <charset val="128"/>
    </font>
    <font>
      <b/>
      <sz val="14"/>
      <name val="BatangChe"/>
      <family val="1"/>
    </font>
    <font>
      <sz val="11"/>
      <name val="BatangChe"/>
      <family val="1"/>
    </font>
    <font>
      <b/>
      <sz val="14"/>
      <name val="맑은 고딕"/>
      <family val="3"/>
    </font>
    <font>
      <b/>
      <sz val="11"/>
      <name val="맑은 고딕"/>
      <family val="3"/>
    </font>
    <font>
      <sz val="11"/>
      <name val="맑은 고딕"/>
      <family val="3"/>
      <charset val="129"/>
    </font>
    <font>
      <b/>
      <sz val="14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4"/>
      <name val="맑은 고딕"/>
      <family val="3"/>
      <charset val="129"/>
      <scheme val="major"/>
    </font>
    <font>
      <sz val="11"/>
      <color theme="1"/>
      <name val="Malgun Gothic"/>
      <family val="2"/>
      <charset val="129"/>
    </font>
    <font>
      <sz val="10"/>
      <name val="Malgun Gothic"/>
      <family val="2"/>
      <charset val="129"/>
    </font>
    <font>
      <sz val="10"/>
      <color theme="1"/>
      <name val="맑은 고딕"/>
      <family val="3"/>
      <charset val="128"/>
      <scheme val="minor"/>
    </font>
    <font>
      <sz val="10"/>
      <color theme="1"/>
      <name val="맑은 고딕"/>
      <family val="2"/>
      <charset val="129"/>
    </font>
    <font>
      <sz val="11"/>
      <color rgb="FFFF00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0"/>
      <name val="맑은 고딕"/>
      <family val="3"/>
      <charset val="129"/>
    </font>
    <font>
      <sz val="10"/>
      <name val="Arial"/>
      <family val="2"/>
    </font>
    <font>
      <sz val="10"/>
      <name val="맑은 고딕"/>
      <family val="2"/>
      <charset val="129"/>
    </font>
    <font>
      <sz val="10"/>
      <color rgb="FF000000"/>
      <name val="Arial"/>
      <family val="2"/>
    </font>
    <font>
      <sz val="10"/>
      <name val="Arial"/>
      <family val="2"/>
    </font>
    <font>
      <b/>
      <sz val="14"/>
      <name val="맑은 고딕"/>
      <family val="3"/>
      <charset val="129"/>
      <scheme val="minor"/>
    </font>
    <font>
      <sz val="10"/>
      <name val="Arial Unicode MS"/>
      <family val="2"/>
      <charset val="129"/>
    </font>
    <font>
      <sz val="28"/>
      <color rgb="FF000000"/>
      <name val="돋움"/>
      <family val="3"/>
      <charset val="129"/>
    </font>
    <font>
      <sz val="28"/>
      <color rgb="FF000000"/>
      <name val="Arial"/>
      <family val="2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DDEBF7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/>
      <right style="medium">
        <color rgb="FFFF0000"/>
      </right>
      <top style="thin">
        <color indexed="64"/>
      </top>
      <bottom style="thin">
        <color indexed="64"/>
      </bottom>
      <diagonal/>
    </border>
    <border>
      <left/>
      <right style="medium">
        <color rgb="FFFF0000"/>
      </right>
      <top/>
      <bottom/>
      <diagonal/>
    </border>
    <border>
      <left/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medium">
        <color rgb="FFFF0000"/>
      </left>
      <right style="thick">
        <color rgb="FFFF0000"/>
      </right>
      <top style="thick">
        <color rgb="FFFF0000"/>
      </top>
      <bottom style="medium">
        <color rgb="FFFF0000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medium">
        <color rgb="FFFF0000"/>
      </bottom>
      <diagonal/>
    </border>
    <border>
      <left style="medium">
        <color rgb="FFFF0000"/>
      </left>
      <right style="thick">
        <color rgb="FFFF0000"/>
      </right>
      <top/>
      <bottom style="thick">
        <color rgb="FFFF0000"/>
      </bottom>
      <diagonal/>
    </border>
    <border>
      <left style="thick">
        <color rgb="FFFF0000"/>
      </left>
      <right style="thick">
        <color rgb="FFFF0000"/>
      </right>
      <top/>
      <bottom style="thick">
        <color rgb="FFFF0000"/>
      </bottom>
      <diagonal/>
    </border>
    <border>
      <left/>
      <right style="medium">
        <color rgb="FFFF0000"/>
      </right>
      <top/>
      <bottom style="thin">
        <color indexed="64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</borders>
  <cellStyleXfs count="484">
    <xf numFmtId="0" fontId="0" fillId="0" borderId="0"/>
    <xf numFmtId="0" fontId="29" fillId="0" borderId="0" applyNumberFormat="0" applyFill="0" applyBorder="0" applyAlignment="0" applyProtection="0">
      <alignment vertical="center"/>
    </xf>
    <xf numFmtId="0" fontId="30" fillId="0" borderId="1" applyNumberFormat="0" applyFill="0" applyAlignment="0" applyProtection="0">
      <alignment vertical="center"/>
    </xf>
    <xf numFmtId="0" fontId="31" fillId="0" borderId="2" applyNumberFormat="0" applyFill="0" applyAlignment="0" applyProtection="0">
      <alignment vertical="center"/>
    </xf>
    <xf numFmtId="0" fontId="32" fillId="0" borderId="3" applyNumberFormat="0" applyFill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3" fillId="2" borderId="0" applyNumberFormat="0" applyBorder="0" applyAlignment="0" applyProtection="0">
      <alignment vertical="center"/>
    </xf>
    <xf numFmtId="0" fontId="34" fillId="3" borderId="0" applyNumberFormat="0" applyBorder="0" applyAlignment="0" applyProtection="0">
      <alignment vertical="center"/>
    </xf>
    <xf numFmtId="0" fontId="35" fillId="4" borderId="0" applyNumberFormat="0" applyBorder="0" applyAlignment="0" applyProtection="0">
      <alignment vertical="center"/>
    </xf>
    <xf numFmtId="0" fontId="36" fillId="5" borderId="4" applyNumberFormat="0" applyAlignment="0" applyProtection="0">
      <alignment vertical="center"/>
    </xf>
    <xf numFmtId="0" fontId="37" fillId="6" borderId="5" applyNumberFormat="0" applyAlignment="0" applyProtection="0">
      <alignment vertical="center"/>
    </xf>
    <xf numFmtId="0" fontId="38" fillId="6" borderId="4" applyNumberFormat="0" applyAlignment="0" applyProtection="0">
      <alignment vertical="center"/>
    </xf>
    <xf numFmtId="0" fontId="39" fillId="0" borderId="6" applyNumberFormat="0" applyFill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28" fillId="8" borderId="8" applyNumberFormat="0" applyFon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3" fillId="0" borderId="9" applyNumberFormat="0" applyFill="0" applyAlignment="0" applyProtection="0">
      <alignment vertical="center"/>
    </xf>
    <xf numFmtId="0" fontId="44" fillId="9" borderId="0" applyNumberFormat="0" applyBorder="0" applyAlignment="0" applyProtection="0">
      <alignment vertical="center"/>
    </xf>
    <xf numFmtId="0" fontId="28" fillId="10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44" fillId="12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8" fillId="15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28" fillId="18" borderId="0" applyNumberFormat="0" applyBorder="0" applyAlignment="0" applyProtection="0">
      <alignment vertical="center"/>
    </xf>
    <xf numFmtId="0" fontId="28" fillId="19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28" fillId="22" borderId="0" applyNumberFormat="0" applyBorder="0" applyAlignment="0" applyProtection="0">
      <alignment vertical="center"/>
    </xf>
    <xf numFmtId="0" fontId="28" fillId="23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28" fillId="26" borderId="0" applyNumberFormat="0" applyBorder="0" applyAlignment="0" applyProtection="0">
      <alignment vertical="center"/>
    </xf>
    <xf numFmtId="0" fontId="28" fillId="27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28" fillId="30" borderId="0" applyNumberFormat="0" applyBorder="0" applyAlignment="0" applyProtection="0">
      <alignment vertical="center"/>
    </xf>
    <xf numFmtId="0" fontId="28" fillId="31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6" fillId="0" borderId="0"/>
    <xf numFmtId="41" fontId="27" fillId="0" borderId="0" applyFont="0" applyFill="0" applyBorder="0" applyAlignment="0" applyProtection="0">
      <alignment vertical="center"/>
    </xf>
    <xf numFmtId="0" fontId="27" fillId="8" borderId="8" applyNumberFormat="0" applyFont="0" applyAlignment="0" applyProtection="0">
      <alignment vertical="center"/>
    </xf>
    <xf numFmtId="0" fontId="27" fillId="10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4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7" fillId="22" borderId="0" applyNumberFormat="0" applyBorder="0" applyAlignment="0" applyProtection="0">
      <alignment vertical="center"/>
    </xf>
    <xf numFmtId="0" fontId="27" fillId="23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7" fillId="27" borderId="0" applyNumberFormat="0" applyBorder="0" applyAlignment="0" applyProtection="0">
      <alignment vertical="center"/>
    </xf>
    <xf numFmtId="0" fontId="27" fillId="30" borderId="0" applyNumberFormat="0" applyBorder="0" applyAlignment="0" applyProtection="0">
      <alignment vertical="center"/>
    </xf>
    <xf numFmtId="0" fontId="27" fillId="31" borderId="0" applyNumberFormat="0" applyBorder="0" applyAlignment="0" applyProtection="0">
      <alignment vertical="center"/>
    </xf>
    <xf numFmtId="41" fontId="27" fillId="0" borderId="0" applyFont="0" applyFill="0" applyBorder="0" applyAlignment="0" applyProtection="0">
      <alignment vertical="center"/>
    </xf>
    <xf numFmtId="0" fontId="46" fillId="0" borderId="0"/>
    <xf numFmtId="41" fontId="27" fillId="0" borderId="0" applyFont="0" applyFill="0" applyBorder="0" applyAlignment="0" applyProtection="0">
      <alignment vertical="center"/>
    </xf>
    <xf numFmtId="0" fontId="46" fillId="0" borderId="0"/>
    <xf numFmtId="41" fontId="27" fillId="0" borderId="0" applyFont="0" applyFill="0" applyBorder="0" applyAlignment="0" applyProtection="0">
      <alignment vertical="center"/>
    </xf>
    <xf numFmtId="0" fontId="46" fillId="0" borderId="0"/>
    <xf numFmtId="0" fontId="26" fillId="8" borderId="8" applyNumberFormat="0" applyFont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4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3" borderId="0" applyNumberFormat="0" applyBorder="0" applyAlignment="0" applyProtection="0">
      <alignment vertical="center"/>
    </xf>
    <xf numFmtId="0" fontId="26" fillId="26" borderId="0" applyNumberFormat="0" applyBorder="0" applyAlignment="0" applyProtection="0">
      <alignment vertical="center"/>
    </xf>
    <xf numFmtId="0" fontId="26" fillId="27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0" fontId="26" fillId="31" borderId="0" applyNumberFormat="0" applyBorder="0" applyAlignment="0" applyProtection="0">
      <alignment vertical="center"/>
    </xf>
    <xf numFmtId="0" fontId="46" fillId="0" borderId="0"/>
    <xf numFmtId="41" fontId="26" fillId="0" borderId="0" applyFont="0" applyFill="0" applyBorder="0" applyAlignment="0" applyProtection="0">
      <alignment vertical="center"/>
    </xf>
    <xf numFmtId="0" fontId="26" fillId="8" borderId="8" applyNumberFormat="0" applyFont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4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3" borderId="0" applyNumberFormat="0" applyBorder="0" applyAlignment="0" applyProtection="0">
      <alignment vertical="center"/>
    </xf>
    <xf numFmtId="0" fontId="26" fillId="26" borderId="0" applyNumberFormat="0" applyBorder="0" applyAlignment="0" applyProtection="0">
      <alignment vertical="center"/>
    </xf>
    <xf numFmtId="0" fontId="26" fillId="27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0" fontId="26" fillId="31" borderId="0" applyNumberFormat="0" applyBorder="0" applyAlignment="0" applyProtection="0">
      <alignment vertical="center"/>
    </xf>
    <xf numFmtId="41" fontId="26" fillId="0" borderId="0" applyFont="0" applyFill="0" applyBorder="0" applyAlignment="0" applyProtection="0">
      <alignment vertical="center"/>
    </xf>
    <xf numFmtId="0" fontId="26" fillId="8" borderId="8" applyNumberFormat="0" applyFont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4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3" borderId="0" applyNumberFormat="0" applyBorder="0" applyAlignment="0" applyProtection="0">
      <alignment vertical="center"/>
    </xf>
    <xf numFmtId="0" fontId="26" fillId="26" borderId="0" applyNumberFormat="0" applyBorder="0" applyAlignment="0" applyProtection="0">
      <alignment vertical="center"/>
    </xf>
    <xf numFmtId="0" fontId="26" fillId="27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0" fontId="26" fillId="31" borderId="0" applyNumberFormat="0" applyBorder="0" applyAlignment="0" applyProtection="0">
      <alignment vertical="center"/>
    </xf>
    <xf numFmtId="41" fontId="26" fillId="0" borderId="0" applyFont="0" applyFill="0" applyBorder="0" applyAlignment="0" applyProtection="0">
      <alignment vertical="center"/>
    </xf>
    <xf numFmtId="41" fontId="26" fillId="0" borderId="0" applyFont="0" applyFill="0" applyBorder="0" applyAlignment="0" applyProtection="0">
      <alignment vertical="center"/>
    </xf>
    <xf numFmtId="41" fontId="26" fillId="0" borderId="0" applyFont="0" applyFill="0" applyBorder="0" applyAlignment="0" applyProtection="0">
      <alignment vertical="center"/>
    </xf>
    <xf numFmtId="0" fontId="25" fillId="8" borderId="8" applyNumberFormat="0" applyFont="0" applyAlignment="0" applyProtection="0">
      <alignment vertical="center"/>
    </xf>
    <xf numFmtId="0" fontId="25" fillId="10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4" borderId="0" applyNumberFormat="0" applyBorder="0" applyAlignment="0" applyProtection="0">
      <alignment vertical="center"/>
    </xf>
    <xf numFmtId="0" fontId="25" fillId="15" borderId="0" applyNumberFormat="0" applyBorder="0" applyAlignment="0" applyProtection="0">
      <alignment vertical="center"/>
    </xf>
    <xf numFmtId="0" fontId="25" fillId="18" borderId="0" applyNumberFormat="0" applyBorder="0" applyAlignment="0" applyProtection="0">
      <alignment vertical="center"/>
    </xf>
    <xf numFmtId="0" fontId="25" fillId="19" borderId="0" applyNumberFormat="0" applyBorder="0" applyAlignment="0" applyProtection="0">
      <alignment vertical="center"/>
    </xf>
    <xf numFmtId="0" fontId="25" fillId="22" borderId="0" applyNumberFormat="0" applyBorder="0" applyAlignment="0" applyProtection="0">
      <alignment vertical="center"/>
    </xf>
    <xf numFmtId="0" fontId="25" fillId="23" borderId="0" applyNumberFormat="0" applyBorder="0" applyAlignment="0" applyProtection="0">
      <alignment vertical="center"/>
    </xf>
    <xf numFmtId="0" fontId="25" fillId="26" borderId="0" applyNumberFormat="0" applyBorder="0" applyAlignment="0" applyProtection="0">
      <alignment vertical="center"/>
    </xf>
    <xf numFmtId="0" fontId="25" fillId="27" borderId="0" applyNumberFormat="0" applyBorder="0" applyAlignment="0" applyProtection="0">
      <alignment vertical="center"/>
    </xf>
    <xf numFmtId="0" fontId="25" fillId="30" borderId="0" applyNumberFormat="0" applyBorder="0" applyAlignment="0" applyProtection="0">
      <alignment vertical="center"/>
    </xf>
    <xf numFmtId="0" fontId="25" fillId="31" borderId="0" applyNumberFormat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0" fontId="24" fillId="8" borderId="8" applyNumberFormat="0" applyFont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23" fillId="8" borderId="8" applyNumberFormat="0" applyFont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45" fillId="0" borderId="0"/>
    <xf numFmtId="41" fontId="22" fillId="0" borderId="0" applyFont="0" applyFill="0" applyBorder="0" applyAlignment="0" applyProtection="0">
      <alignment vertical="center"/>
    </xf>
    <xf numFmtId="0" fontId="22" fillId="8" borderId="8" applyNumberFormat="0" applyFont="0" applyAlignment="0" applyProtection="0">
      <alignment vertical="center"/>
    </xf>
    <xf numFmtId="0" fontId="22" fillId="10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4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22" fillId="18" borderId="0" applyNumberFormat="0" applyBorder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22" fillId="22" borderId="0" applyNumberFormat="0" applyBorder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0" fontId="22" fillId="26" borderId="0" applyNumberFormat="0" applyBorder="0" applyAlignment="0" applyProtection="0">
      <alignment vertical="center"/>
    </xf>
    <xf numFmtId="0" fontId="22" fillId="27" borderId="0" applyNumberFormat="0" applyBorder="0" applyAlignment="0" applyProtection="0">
      <alignment vertical="center"/>
    </xf>
    <xf numFmtId="0" fontId="22" fillId="30" borderId="0" applyNumberFormat="0" applyBorder="0" applyAlignment="0" applyProtection="0">
      <alignment vertical="center"/>
    </xf>
    <xf numFmtId="0" fontId="22" fillId="31" borderId="0" applyNumberFormat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0" fontId="21" fillId="8" borderId="8" applyNumberFormat="0" applyFont="0" applyAlignment="0" applyProtection="0">
      <alignment vertical="center"/>
    </xf>
    <xf numFmtId="0" fontId="21" fillId="10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1" fillId="15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1" fillId="23" borderId="0" applyNumberFormat="0" applyBorder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21" fillId="27" borderId="0" applyNumberFormat="0" applyBorder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0" fontId="21" fillId="31" borderId="0" applyNumberFormat="0" applyBorder="0" applyAlignment="0" applyProtection="0">
      <alignment vertical="center"/>
    </xf>
    <xf numFmtId="41" fontId="20" fillId="0" borderId="0" applyFont="0" applyFill="0" applyBorder="0" applyAlignment="0" applyProtection="0">
      <alignment vertical="center"/>
    </xf>
    <xf numFmtId="0" fontId="20" fillId="8" borderId="8" applyNumberFormat="0" applyFont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  <xf numFmtId="0" fontId="19" fillId="8" borderId="8" applyNumberFormat="0" applyFont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41" fontId="18" fillId="0" borderId="0" applyFont="0" applyFill="0" applyBorder="0" applyAlignment="0" applyProtection="0">
      <alignment vertical="center"/>
    </xf>
    <xf numFmtId="0" fontId="18" fillId="8" borderId="8" applyNumberFormat="0" applyFont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26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0" fontId="17" fillId="8" borderId="8" applyNumberFormat="0" applyFont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3" borderId="0" applyNumberFormat="0" applyBorder="0" applyAlignment="0" applyProtection="0">
      <alignment vertical="center"/>
    </xf>
    <xf numFmtId="0" fontId="17" fillId="26" borderId="0" applyNumberFormat="0" applyBorder="0" applyAlignment="0" applyProtection="0">
      <alignment vertical="center"/>
    </xf>
    <xf numFmtId="0" fontId="17" fillId="27" borderId="0" applyNumberFormat="0" applyBorder="0" applyAlignment="0" applyProtection="0">
      <alignment vertical="center"/>
    </xf>
    <xf numFmtId="0" fontId="17" fillId="30" borderId="0" applyNumberFormat="0" applyBorder="0" applyAlignment="0" applyProtection="0">
      <alignment vertical="center"/>
    </xf>
    <xf numFmtId="0" fontId="17" fillId="31" borderId="0" applyNumberFormat="0" applyBorder="0" applyAlignment="0" applyProtection="0">
      <alignment vertical="center"/>
    </xf>
    <xf numFmtId="0" fontId="16" fillId="8" borderId="8" applyNumberFormat="0" applyFont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6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5" fillId="8" borderId="8" applyNumberFormat="0" applyFont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4" fillId="8" borderId="8" applyNumberFormat="0" applyFont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3" fillId="8" borderId="8" applyNumberFormat="0" applyFon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8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6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30" borderId="0" applyNumberFormat="0" applyBorder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12" fillId="8" borderId="8" applyNumberFormat="0" applyFont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12" fillId="18" borderId="0" applyNumberFormat="0" applyBorder="0" applyAlignment="0" applyProtection="0">
      <alignment vertical="center"/>
    </xf>
    <xf numFmtId="0" fontId="12" fillId="19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11" fillId="8" borderId="8" applyNumberFormat="0" applyFont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9" fillId="8" borderId="8" applyNumberFormat="0" applyFont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8" fillId="8" borderId="8" applyNumberFormat="0" applyFont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5" fillId="0" borderId="1" applyNumberFormat="0" applyFill="0" applyAlignment="0" applyProtection="0">
      <alignment vertical="center"/>
    </xf>
    <xf numFmtId="0" fontId="56" fillId="0" borderId="2" applyNumberFormat="0" applyFill="0" applyAlignment="0" applyProtection="0">
      <alignment vertical="center"/>
    </xf>
    <xf numFmtId="0" fontId="57" fillId="0" borderId="3" applyNumberFormat="0" applyFill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2" borderId="0" applyNumberFormat="0" applyBorder="0" applyAlignment="0" applyProtection="0">
      <alignment vertical="center"/>
    </xf>
    <xf numFmtId="0" fontId="59" fillId="3" borderId="0" applyNumberFormat="0" applyBorder="0" applyAlignment="0" applyProtection="0">
      <alignment vertical="center"/>
    </xf>
    <xf numFmtId="0" fontId="60" fillId="4" borderId="0" applyNumberFormat="0" applyBorder="0" applyAlignment="0" applyProtection="0">
      <alignment vertical="center"/>
    </xf>
    <xf numFmtId="0" fontId="61" fillId="5" borderId="4" applyNumberFormat="0" applyAlignment="0" applyProtection="0">
      <alignment vertical="center"/>
    </xf>
    <xf numFmtId="0" fontId="62" fillId="6" borderId="5" applyNumberFormat="0" applyAlignment="0" applyProtection="0">
      <alignment vertical="center"/>
    </xf>
    <xf numFmtId="0" fontId="63" fillId="6" borderId="4" applyNumberFormat="0" applyAlignment="0" applyProtection="0">
      <alignment vertical="center"/>
    </xf>
    <xf numFmtId="0" fontId="64" fillId="0" borderId="6" applyNumberFormat="0" applyFill="0" applyAlignment="0" applyProtection="0">
      <alignment vertical="center"/>
    </xf>
    <xf numFmtId="0" fontId="65" fillId="7" borderId="7" applyNumberFormat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53" fillId="8" borderId="8" applyNumberFormat="0" applyFont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68" fillId="0" borderId="9" applyNumberFormat="0" applyFill="0" applyAlignment="0" applyProtection="0">
      <alignment vertical="center"/>
    </xf>
    <xf numFmtId="0" fontId="69" fillId="9" borderId="0" applyNumberFormat="0" applyBorder="0" applyAlignment="0" applyProtection="0">
      <alignment vertical="center"/>
    </xf>
    <xf numFmtId="0" fontId="53" fillId="10" borderId="0" applyNumberFormat="0" applyBorder="0" applyAlignment="0" applyProtection="0">
      <alignment vertical="center"/>
    </xf>
    <xf numFmtId="0" fontId="53" fillId="11" borderId="0" applyNumberFormat="0" applyBorder="0" applyAlignment="0" applyProtection="0">
      <alignment vertical="center"/>
    </xf>
    <xf numFmtId="0" fontId="69" fillId="12" borderId="0" applyNumberFormat="0" applyBorder="0" applyAlignment="0" applyProtection="0">
      <alignment vertical="center"/>
    </xf>
    <xf numFmtId="0" fontId="69" fillId="13" borderId="0" applyNumberFormat="0" applyBorder="0" applyAlignment="0" applyProtection="0">
      <alignment vertical="center"/>
    </xf>
    <xf numFmtId="0" fontId="53" fillId="14" borderId="0" applyNumberFormat="0" applyBorder="0" applyAlignment="0" applyProtection="0">
      <alignment vertical="center"/>
    </xf>
    <xf numFmtId="0" fontId="53" fillId="15" borderId="0" applyNumberFormat="0" applyBorder="0" applyAlignment="0" applyProtection="0">
      <alignment vertical="center"/>
    </xf>
    <xf numFmtId="0" fontId="69" fillId="16" borderId="0" applyNumberFormat="0" applyBorder="0" applyAlignment="0" applyProtection="0">
      <alignment vertical="center"/>
    </xf>
    <xf numFmtId="0" fontId="69" fillId="17" borderId="0" applyNumberFormat="0" applyBorder="0" applyAlignment="0" applyProtection="0">
      <alignment vertical="center"/>
    </xf>
    <xf numFmtId="0" fontId="53" fillId="18" borderId="0" applyNumberFormat="0" applyBorder="0" applyAlignment="0" applyProtection="0">
      <alignment vertical="center"/>
    </xf>
    <xf numFmtId="0" fontId="53" fillId="19" borderId="0" applyNumberFormat="0" applyBorder="0" applyAlignment="0" applyProtection="0">
      <alignment vertical="center"/>
    </xf>
    <xf numFmtId="0" fontId="69" fillId="20" borderId="0" applyNumberFormat="0" applyBorder="0" applyAlignment="0" applyProtection="0">
      <alignment vertical="center"/>
    </xf>
    <xf numFmtId="0" fontId="69" fillId="21" borderId="0" applyNumberFormat="0" applyBorder="0" applyAlignment="0" applyProtection="0">
      <alignment vertical="center"/>
    </xf>
    <xf numFmtId="0" fontId="53" fillId="22" borderId="0" applyNumberFormat="0" applyBorder="0" applyAlignment="0" applyProtection="0">
      <alignment vertical="center"/>
    </xf>
    <xf numFmtId="0" fontId="53" fillId="23" borderId="0" applyNumberFormat="0" applyBorder="0" applyAlignment="0" applyProtection="0">
      <alignment vertical="center"/>
    </xf>
    <xf numFmtId="0" fontId="69" fillId="24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53" fillId="26" borderId="0" applyNumberFormat="0" applyBorder="0" applyAlignment="0" applyProtection="0">
      <alignment vertical="center"/>
    </xf>
    <xf numFmtId="0" fontId="53" fillId="27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9" fillId="29" borderId="0" applyNumberFormat="0" applyBorder="0" applyAlignment="0" applyProtection="0">
      <alignment vertical="center"/>
    </xf>
    <xf numFmtId="0" fontId="53" fillId="30" borderId="0" applyNumberFormat="0" applyBorder="0" applyAlignment="0" applyProtection="0">
      <alignment vertical="center"/>
    </xf>
    <xf numFmtId="0" fontId="53" fillId="31" borderId="0" applyNumberFormat="0" applyBorder="0" applyAlignment="0" applyProtection="0">
      <alignment vertical="center"/>
    </xf>
    <xf numFmtId="0" fontId="69" fillId="32" borderId="0" applyNumberFormat="0" applyBorder="0" applyAlignment="0" applyProtection="0">
      <alignment vertical="center"/>
    </xf>
    <xf numFmtId="0" fontId="45" fillId="0" borderId="0"/>
    <xf numFmtId="0" fontId="45" fillId="0" borderId="0"/>
    <xf numFmtId="0" fontId="70" fillId="0" borderId="0">
      <alignment vertical="center"/>
    </xf>
    <xf numFmtId="0" fontId="70" fillId="0" borderId="0">
      <alignment vertical="center"/>
    </xf>
    <xf numFmtId="0" fontId="70" fillId="0" borderId="0"/>
    <xf numFmtId="0" fontId="45" fillId="0" borderId="0"/>
    <xf numFmtId="41" fontId="70" fillId="0" borderId="0" applyFont="0" applyFill="0" applyBorder="0" applyAlignment="0" applyProtection="0">
      <alignment vertical="center"/>
    </xf>
    <xf numFmtId="0" fontId="45" fillId="0" borderId="0"/>
    <xf numFmtId="0" fontId="45" fillId="0" borderId="0"/>
    <xf numFmtId="9" fontId="88" fillId="0" borderId="0" applyFont="0" applyFill="0" applyBorder="0" applyAlignment="0" applyProtection="0">
      <alignment vertical="center"/>
    </xf>
    <xf numFmtId="41" fontId="9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</cellStyleXfs>
  <cellXfs count="81">
    <xf numFmtId="0" fontId="45" fillId="0" borderId="0" xfId="0" applyFont="1" applyAlignment="1"/>
    <xf numFmtId="0" fontId="46" fillId="0" borderId="10" xfId="60" applyFont="1" applyFill="1" applyBorder="1" applyAlignment="1"/>
    <xf numFmtId="0" fontId="2" fillId="0" borderId="0" xfId="429">
      <alignment vertical="center"/>
    </xf>
    <xf numFmtId="0" fontId="45" fillId="0" borderId="0" xfId="429" applyFont="1" applyAlignment="1"/>
    <xf numFmtId="9" fontId="51" fillId="0" borderId="0" xfId="430" applyFont="1" applyBorder="1">
      <alignment vertical="center"/>
    </xf>
    <xf numFmtId="0" fontId="51" fillId="0" borderId="0" xfId="429" applyFont="1" applyBorder="1">
      <alignment vertical="center"/>
    </xf>
    <xf numFmtId="0" fontId="51" fillId="0" borderId="11" xfId="429" applyFont="1" applyBorder="1">
      <alignment vertical="center"/>
    </xf>
    <xf numFmtId="49" fontId="48" fillId="35" borderId="10" xfId="0" applyNumberFormat="1" applyFont="1" applyFill="1" applyBorder="1" applyAlignment="1">
      <alignment horizontal="center" vertical="center"/>
    </xf>
    <xf numFmtId="49" fontId="70" fillId="0" borderId="0" xfId="476" applyNumberFormat="1"/>
    <xf numFmtId="49" fontId="70" fillId="0" borderId="10" xfId="476" applyNumberFormat="1" applyFill="1" applyBorder="1"/>
    <xf numFmtId="0" fontId="81" fillId="0" borderId="0" xfId="429" applyFont="1">
      <alignment vertical="center"/>
    </xf>
    <xf numFmtId="0" fontId="0" fillId="0" borderId="0" xfId="0" applyAlignment="1">
      <alignment vertical="center"/>
    </xf>
    <xf numFmtId="0" fontId="46" fillId="39" borderId="10" xfId="60" applyFont="1" applyFill="1" applyBorder="1" applyAlignment="1"/>
    <xf numFmtId="49" fontId="70" fillId="0" borderId="10" xfId="476" applyNumberFormat="1" applyFont="1" applyFill="1" applyBorder="1"/>
    <xf numFmtId="0" fontId="45" fillId="0" borderId="0" xfId="0" applyFont="1"/>
    <xf numFmtId="14" fontId="45" fillId="0" borderId="0" xfId="0" applyNumberFormat="1" applyFont="1" applyAlignment="1">
      <alignment horizontal="right"/>
    </xf>
    <xf numFmtId="3" fontId="45" fillId="0" borderId="0" xfId="0" applyNumberFormat="1" applyFont="1" applyAlignment="1">
      <alignment horizontal="right"/>
    </xf>
    <xf numFmtId="0" fontId="0" fillId="0" borderId="10" xfId="0" applyBorder="1" applyAlignment="1">
      <alignment vertical="center"/>
    </xf>
    <xf numFmtId="49" fontId="0" fillId="0" borderId="10" xfId="0" applyNumberFormat="1" applyBorder="1" applyAlignment="1">
      <alignment vertical="center"/>
    </xf>
    <xf numFmtId="0" fontId="2" fillId="40" borderId="0" xfId="429" applyFill="1">
      <alignment vertical="center"/>
    </xf>
    <xf numFmtId="0" fontId="2" fillId="38" borderId="0" xfId="429" applyFill="1">
      <alignment vertical="center"/>
    </xf>
    <xf numFmtId="0" fontId="2" fillId="41" borderId="0" xfId="429" applyFill="1">
      <alignment vertical="center"/>
    </xf>
    <xf numFmtId="49" fontId="86" fillId="0" borderId="10" xfId="476" applyNumberFormat="1" applyFont="1" applyFill="1" applyBorder="1" applyAlignment="1">
      <alignment horizontal="left" vertical="center"/>
    </xf>
    <xf numFmtId="49" fontId="86" fillId="0" borderId="10" xfId="476" applyNumberFormat="1" applyFont="1" applyFill="1" applyBorder="1" applyAlignment="1">
      <alignment horizontal="left"/>
    </xf>
    <xf numFmtId="49" fontId="45" fillId="0" borderId="0" xfId="0" applyNumberFormat="1" applyFont="1" applyAlignment="1"/>
    <xf numFmtId="0" fontId="82" fillId="34" borderId="10" xfId="0" applyFont="1" applyFill="1" applyBorder="1" applyAlignment="1"/>
    <xf numFmtId="41" fontId="45" fillId="0" borderId="0" xfId="482" applyFont="1" applyAlignment="1"/>
    <xf numFmtId="41" fontId="45" fillId="0" borderId="0" xfId="482" applyFont="1" applyFill="1" applyAlignment="1"/>
    <xf numFmtId="41" fontId="45" fillId="0" borderId="0" xfId="482" applyFont="1" applyFill="1" applyBorder="1" applyAlignment="1"/>
    <xf numFmtId="49" fontId="70" fillId="0" borderId="10" xfId="476" applyNumberFormat="1" applyFont="1" applyFill="1" applyBorder="1" applyAlignment="1">
      <alignment horizontal="left" vertical="center"/>
    </xf>
    <xf numFmtId="49" fontId="70" fillId="0" borderId="10" xfId="476" applyNumberFormat="1" applyFont="1" applyFill="1" applyBorder="1" applyAlignment="1">
      <alignment horizontal="left"/>
    </xf>
    <xf numFmtId="49" fontId="86" fillId="0" borderId="10" xfId="476" applyNumberFormat="1" applyFont="1" applyFill="1" applyBorder="1"/>
    <xf numFmtId="49" fontId="86" fillId="0" borderId="10" xfId="478" applyNumberFormat="1" applyFont="1" applyFill="1" applyBorder="1" applyAlignment="1">
      <alignment horizontal="left"/>
    </xf>
    <xf numFmtId="49" fontId="70" fillId="0" borderId="0" xfId="476" applyNumberFormat="1" applyFill="1" applyBorder="1"/>
    <xf numFmtId="49" fontId="70" fillId="0" borderId="0" xfId="476" applyNumberFormat="1" applyFont="1" applyFill="1" applyBorder="1"/>
    <xf numFmtId="49" fontId="70" fillId="42" borderId="10" xfId="476" applyNumberFormat="1" applyFill="1" applyBorder="1"/>
    <xf numFmtId="49" fontId="70" fillId="42" borderId="10" xfId="476" applyNumberFormat="1" applyFont="1" applyFill="1" applyBorder="1"/>
    <xf numFmtId="49" fontId="70" fillId="42" borderId="10" xfId="476" applyNumberFormat="1" applyFont="1" applyFill="1" applyBorder="1" applyAlignment="1">
      <alignment horizontal="left" vertical="center"/>
    </xf>
    <xf numFmtId="49" fontId="86" fillId="42" borderId="10" xfId="478" applyNumberFormat="1" applyFont="1" applyFill="1" applyBorder="1" applyAlignment="1"/>
    <xf numFmtId="49" fontId="86" fillId="42" borderId="10" xfId="476" applyNumberFormat="1" applyFont="1" applyFill="1" applyBorder="1"/>
    <xf numFmtId="49" fontId="86" fillId="42" borderId="10" xfId="476" applyNumberFormat="1" applyFont="1" applyFill="1" applyBorder="1" applyAlignment="1">
      <alignment horizontal="left" vertical="center"/>
    </xf>
    <xf numFmtId="49" fontId="85" fillId="42" borderId="10" xfId="476" applyNumberFormat="1" applyFont="1" applyFill="1" applyBorder="1"/>
    <xf numFmtId="49" fontId="71" fillId="34" borderId="12" xfId="474" applyNumberFormat="1" applyFont="1" applyFill="1" applyBorder="1" applyAlignment="1">
      <alignment horizontal="left" vertical="top" wrapText="1"/>
    </xf>
    <xf numFmtId="49" fontId="72" fillId="34" borderId="12" xfId="474" applyNumberFormat="1" applyFont="1" applyFill="1" applyBorder="1" applyAlignment="1">
      <alignment horizontal="left" vertical="top" wrapText="1"/>
    </xf>
    <xf numFmtId="49" fontId="77" fillId="36" borderId="12" xfId="475" applyNumberFormat="1" applyFont="1" applyFill="1" applyBorder="1" applyAlignment="1">
      <alignment horizontal="left" vertical="top" wrapText="1"/>
    </xf>
    <xf numFmtId="49" fontId="79" fillId="36" borderId="12" xfId="475" applyNumberFormat="1" applyFont="1" applyFill="1" applyBorder="1" applyAlignment="1">
      <alignment horizontal="left" vertical="top" wrapText="1"/>
    </xf>
    <xf numFmtId="49" fontId="79" fillId="33" borderId="12" xfId="475" applyNumberFormat="1" applyFont="1" applyFill="1" applyBorder="1" applyAlignment="1">
      <alignment horizontal="left" vertical="top" wrapText="1"/>
    </xf>
    <xf numFmtId="49" fontId="86" fillId="33" borderId="12" xfId="475" applyNumberFormat="1" applyFont="1" applyFill="1" applyBorder="1" applyAlignment="1">
      <alignment horizontal="left" vertical="top" wrapText="1"/>
    </xf>
    <xf numFmtId="49" fontId="79" fillId="37" borderId="12" xfId="475" applyNumberFormat="1" applyFont="1" applyFill="1" applyBorder="1" applyAlignment="1">
      <alignment horizontal="left" vertical="top" wrapText="1"/>
    </xf>
    <xf numFmtId="49" fontId="80" fillId="33" borderId="12" xfId="475" applyNumberFormat="1" applyFont="1" applyFill="1" applyBorder="1" applyAlignment="1">
      <alignment horizontal="left" vertical="top" wrapText="1"/>
    </xf>
    <xf numFmtId="0" fontId="93" fillId="0" borderId="0" xfId="479" applyFont="1"/>
    <xf numFmtId="0" fontId="45" fillId="0" borderId="0" xfId="479"/>
    <xf numFmtId="49" fontId="70" fillId="42" borderId="10" xfId="476" applyNumberFormat="1" applyFont="1" applyFill="1" applyBorder="1" applyAlignment="1">
      <alignment horizontal="left"/>
    </xf>
    <xf numFmtId="49" fontId="86" fillId="42" borderId="10" xfId="478" applyNumberFormat="1" applyFont="1" applyFill="1" applyBorder="1" applyAlignment="1">
      <alignment horizontal="left"/>
    </xf>
    <xf numFmtId="0" fontId="89" fillId="34" borderId="13" xfId="0" applyFont="1" applyFill="1" applyBorder="1" applyAlignment="1"/>
    <xf numFmtId="0" fontId="46" fillId="0" borderId="13" xfId="60" applyFont="1" applyFill="1" applyBorder="1" applyAlignment="1"/>
    <xf numFmtId="49" fontId="87" fillId="0" borderId="0" xfId="0" applyNumberFormat="1" applyFont="1" applyBorder="1" applyAlignment="1"/>
    <xf numFmtId="176" fontId="52" fillId="33" borderId="14" xfId="430" applyNumberFormat="1" applyFont="1" applyFill="1" applyBorder="1">
      <alignment vertical="center"/>
    </xf>
    <xf numFmtId="0" fontId="89" fillId="33" borderId="14" xfId="0" applyFont="1" applyFill="1" applyBorder="1" applyAlignment="1"/>
    <xf numFmtId="177" fontId="45" fillId="33" borderId="14" xfId="481" applyNumberFormat="1" applyFont="1" applyFill="1" applyBorder="1" applyAlignment="1"/>
    <xf numFmtId="49" fontId="87" fillId="0" borderId="15" xfId="59" applyNumberFormat="1" applyFont="1" applyFill="1" applyBorder="1" applyAlignment="1"/>
    <xf numFmtId="49" fontId="87" fillId="0" borderId="16" xfId="0" applyNumberFormat="1" applyFont="1" applyBorder="1" applyAlignment="1"/>
    <xf numFmtId="49" fontId="87" fillId="0" borderId="17" xfId="59" applyNumberFormat="1" applyFont="1" applyFill="1" applyBorder="1" applyAlignment="1"/>
    <xf numFmtId="49" fontId="87" fillId="33" borderId="14" xfId="59" applyNumberFormat="1" applyFont="1" applyFill="1" applyBorder="1" applyAlignment="1"/>
    <xf numFmtId="49" fontId="87" fillId="33" borderId="14" xfId="0" applyNumberFormat="1" applyFont="1" applyFill="1" applyBorder="1" applyAlignment="1"/>
    <xf numFmtId="49" fontId="87" fillId="33" borderId="14" xfId="58" applyNumberFormat="1" applyFont="1" applyFill="1" applyBorder="1" applyAlignment="1"/>
    <xf numFmtId="49" fontId="87" fillId="0" borderId="18" xfId="59" applyNumberFormat="1" applyFont="1" applyFill="1" applyBorder="1" applyAlignment="1"/>
    <xf numFmtId="49" fontId="87" fillId="0" borderId="19" xfId="59" applyNumberFormat="1" applyFont="1" applyFill="1" applyBorder="1" applyAlignment="1"/>
    <xf numFmtId="49" fontId="87" fillId="33" borderId="20" xfId="149" applyNumberFormat="1" applyFont="1" applyFill="1" applyBorder="1" applyAlignment="1"/>
    <xf numFmtId="49" fontId="87" fillId="33" borderId="20" xfId="0" applyNumberFormat="1" applyFont="1" applyFill="1" applyBorder="1" applyAlignment="1"/>
    <xf numFmtId="49" fontId="87" fillId="33" borderId="21" xfId="149" applyNumberFormat="1" applyFont="1" applyFill="1" applyBorder="1" applyAlignment="1"/>
    <xf numFmtId="49" fontId="87" fillId="33" borderId="22" xfId="59" applyNumberFormat="1" applyFont="1" applyFill="1" applyBorder="1" applyAlignment="1"/>
    <xf numFmtId="49" fontId="87" fillId="33" borderId="22" xfId="0" applyNumberFormat="1" applyFont="1" applyFill="1" applyBorder="1" applyAlignment="1"/>
    <xf numFmtId="49" fontId="87" fillId="33" borderId="23" xfId="149" applyNumberFormat="1" applyFont="1" applyFill="1" applyBorder="1" applyAlignment="1"/>
    <xf numFmtId="49" fontId="87" fillId="0" borderId="11" xfId="59" applyNumberFormat="1" applyFont="1" applyFill="1" applyBorder="1" applyAlignment="1"/>
    <xf numFmtId="49" fontId="87" fillId="33" borderId="24" xfId="59" applyNumberFormat="1" applyFont="1" applyFill="1" applyBorder="1" applyAlignment="1"/>
    <xf numFmtId="49" fontId="87" fillId="33" borderId="24" xfId="0" applyNumberFormat="1" applyFont="1" applyFill="1" applyBorder="1" applyAlignment="1"/>
    <xf numFmtId="49" fontId="87" fillId="0" borderId="25" xfId="59" applyNumberFormat="1" applyFont="1" applyFill="1" applyBorder="1" applyAlignment="1"/>
    <xf numFmtId="49" fontId="87" fillId="34" borderId="26" xfId="59" applyNumberFormat="1" applyFont="1" applyFill="1" applyBorder="1" applyAlignment="1"/>
    <xf numFmtId="49" fontId="87" fillId="34" borderId="27" xfId="0" applyNumberFormat="1" applyFont="1" applyFill="1" applyBorder="1" applyAlignment="1"/>
    <xf numFmtId="49" fontId="87" fillId="33" borderId="14" xfId="58" applyNumberFormat="1" applyFont="1" applyFill="1" applyBorder="1" applyAlignment="1">
      <alignment horizontal="center"/>
    </xf>
  </cellXfs>
  <cellStyles count="484">
    <cellStyle name="20% - 강조색1" xfId="19" builtinId="30" customBuiltin="1"/>
    <cellStyle name="20% - 강조색1 10" xfId="180" xr:uid="{00000000-0005-0000-0000-000001000000}"/>
    <cellStyle name="20% - 강조색1 11" xfId="194" xr:uid="{00000000-0005-0000-0000-000002000000}"/>
    <cellStyle name="20% - 강조색1 12" xfId="208" xr:uid="{00000000-0005-0000-0000-000003000000}"/>
    <cellStyle name="20% - 강조색1 13" xfId="222" xr:uid="{00000000-0005-0000-0000-000004000000}"/>
    <cellStyle name="20% - 강조색1 14" xfId="235" xr:uid="{00000000-0005-0000-0000-000005000000}"/>
    <cellStyle name="20% - 강조색1 15" xfId="248" xr:uid="{00000000-0005-0000-0000-000006000000}"/>
    <cellStyle name="20% - 강조색1 16" xfId="261" xr:uid="{00000000-0005-0000-0000-000007000000}"/>
    <cellStyle name="20% - 강조색1 17" xfId="274" xr:uid="{00000000-0005-0000-0000-000008000000}"/>
    <cellStyle name="20% - 강조색1 18" xfId="287" xr:uid="{00000000-0005-0000-0000-000009000000}"/>
    <cellStyle name="20% - 강조색1 19" xfId="300" xr:uid="{00000000-0005-0000-0000-00000A000000}"/>
    <cellStyle name="20% - 강조색1 2" xfId="45" xr:uid="{00000000-0005-0000-0000-00000B000000}"/>
    <cellStyle name="20% - 강조색1 2 2" xfId="93" xr:uid="{00000000-0005-0000-0000-00000C000000}"/>
    <cellStyle name="20% - 강조색1 20" xfId="313" xr:uid="{00000000-0005-0000-0000-00000D000000}"/>
    <cellStyle name="20% - 강조색1 21" xfId="326" xr:uid="{00000000-0005-0000-0000-00000E000000}"/>
    <cellStyle name="20% - 강조색1 22" xfId="339" xr:uid="{00000000-0005-0000-0000-00000F000000}"/>
    <cellStyle name="20% - 강조색1 23" xfId="352" xr:uid="{00000000-0005-0000-0000-000010000000}"/>
    <cellStyle name="20% - 강조색1 24" xfId="365" xr:uid="{00000000-0005-0000-0000-000011000000}"/>
    <cellStyle name="20% - 강조색1 25" xfId="378" xr:uid="{00000000-0005-0000-0000-000012000000}"/>
    <cellStyle name="20% - 강조색1 26" xfId="391" xr:uid="{00000000-0005-0000-0000-000013000000}"/>
    <cellStyle name="20% - 강조색1 27" xfId="404" xr:uid="{00000000-0005-0000-0000-000014000000}"/>
    <cellStyle name="20% - 강조색1 28" xfId="417" xr:uid="{00000000-0005-0000-0000-000015000000}"/>
    <cellStyle name="20% - 강조색1 29" xfId="449" xr:uid="{00000000-0005-0000-0000-000016000000}"/>
    <cellStyle name="20% - 강조색1 3" xfId="79" xr:uid="{00000000-0005-0000-0000-000017000000}"/>
    <cellStyle name="20% - 강조색1 4" xfId="64" xr:uid="{00000000-0005-0000-0000-000018000000}"/>
    <cellStyle name="20% - 강조색1 5" xfId="109" xr:uid="{00000000-0005-0000-0000-000019000000}"/>
    <cellStyle name="20% - 강조색1 6" xfId="123" xr:uid="{00000000-0005-0000-0000-00001A000000}"/>
    <cellStyle name="20% - 강조색1 7" xfId="137" xr:uid="{00000000-0005-0000-0000-00001B000000}"/>
    <cellStyle name="20% - 강조색1 8" xfId="152" xr:uid="{00000000-0005-0000-0000-00001C000000}"/>
    <cellStyle name="20% - 강조색1 9" xfId="166" xr:uid="{00000000-0005-0000-0000-00001D000000}"/>
    <cellStyle name="20% - 강조색2" xfId="23" builtinId="34" customBuiltin="1"/>
    <cellStyle name="20% - 강조색2 10" xfId="182" xr:uid="{00000000-0005-0000-0000-00001F000000}"/>
    <cellStyle name="20% - 강조색2 11" xfId="196" xr:uid="{00000000-0005-0000-0000-000020000000}"/>
    <cellStyle name="20% - 강조색2 12" xfId="210" xr:uid="{00000000-0005-0000-0000-000021000000}"/>
    <cellStyle name="20% - 강조색2 13" xfId="224" xr:uid="{00000000-0005-0000-0000-000022000000}"/>
    <cellStyle name="20% - 강조색2 14" xfId="237" xr:uid="{00000000-0005-0000-0000-000023000000}"/>
    <cellStyle name="20% - 강조색2 15" xfId="250" xr:uid="{00000000-0005-0000-0000-000024000000}"/>
    <cellStyle name="20% - 강조색2 16" xfId="263" xr:uid="{00000000-0005-0000-0000-000025000000}"/>
    <cellStyle name="20% - 강조색2 17" xfId="276" xr:uid="{00000000-0005-0000-0000-000026000000}"/>
    <cellStyle name="20% - 강조색2 18" xfId="289" xr:uid="{00000000-0005-0000-0000-000027000000}"/>
    <cellStyle name="20% - 강조색2 19" xfId="302" xr:uid="{00000000-0005-0000-0000-000028000000}"/>
    <cellStyle name="20% - 강조색2 2" xfId="47" xr:uid="{00000000-0005-0000-0000-000029000000}"/>
    <cellStyle name="20% - 강조색2 2 2" xfId="95" xr:uid="{00000000-0005-0000-0000-00002A000000}"/>
    <cellStyle name="20% - 강조색2 20" xfId="315" xr:uid="{00000000-0005-0000-0000-00002B000000}"/>
    <cellStyle name="20% - 강조색2 21" xfId="328" xr:uid="{00000000-0005-0000-0000-00002C000000}"/>
    <cellStyle name="20% - 강조색2 22" xfId="341" xr:uid="{00000000-0005-0000-0000-00002D000000}"/>
    <cellStyle name="20% - 강조색2 23" xfId="354" xr:uid="{00000000-0005-0000-0000-00002E000000}"/>
    <cellStyle name="20% - 강조색2 24" xfId="367" xr:uid="{00000000-0005-0000-0000-00002F000000}"/>
    <cellStyle name="20% - 강조색2 25" xfId="380" xr:uid="{00000000-0005-0000-0000-000030000000}"/>
    <cellStyle name="20% - 강조색2 26" xfId="393" xr:uid="{00000000-0005-0000-0000-000031000000}"/>
    <cellStyle name="20% - 강조색2 27" xfId="406" xr:uid="{00000000-0005-0000-0000-000032000000}"/>
    <cellStyle name="20% - 강조색2 28" xfId="419" xr:uid="{00000000-0005-0000-0000-000033000000}"/>
    <cellStyle name="20% - 강조색2 29" xfId="453" xr:uid="{00000000-0005-0000-0000-000034000000}"/>
    <cellStyle name="20% - 강조색2 3" xfId="81" xr:uid="{00000000-0005-0000-0000-000035000000}"/>
    <cellStyle name="20% - 강조색2 4" xfId="66" xr:uid="{00000000-0005-0000-0000-000036000000}"/>
    <cellStyle name="20% - 강조색2 5" xfId="111" xr:uid="{00000000-0005-0000-0000-000037000000}"/>
    <cellStyle name="20% - 강조색2 6" xfId="125" xr:uid="{00000000-0005-0000-0000-000038000000}"/>
    <cellStyle name="20% - 강조색2 7" xfId="139" xr:uid="{00000000-0005-0000-0000-000039000000}"/>
    <cellStyle name="20% - 강조색2 8" xfId="154" xr:uid="{00000000-0005-0000-0000-00003A000000}"/>
    <cellStyle name="20% - 강조색2 9" xfId="168" xr:uid="{00000000-0005-0000-0000-00003B000000}"/>
    <cellStyle name="20% - 강조색3" xfId="27" builtinId="38" customBuiltin="1"/>
    <cellStyle name="20% - 강조색3 10" xfId="184" xr:uid="{00000000-0005-0000-0000-00003D000000}"/>
    <cellStyle name="20% - 강조색3 11" xfId="198" xr:uid="{00000000-0005-0000-0000-00003E000000}"/>
    <cellStyle name="20% - 강조색3 12" xfId="212" xr:uid="{00000000-0005-0000-0000-00003F000000}"/>
    <cellStyle name="20% - 강조색3 13" xfId="226" xr:uid="{00000000-0005-0000-0000-000040000000}"/>
    <cellStyle name="20% - 강조색3 14" xfId="239" xr:uid="{00000000-0005-0000-0000-000041000000}"/>
    <cellStyle name="20% - 강조색3 15" xfId="252" xr:uid="{00000000-0005-0000-0000-000042000000}"/>
    <cellStyle name="20% - 강조색3 16" xfId="265" xr:uid="{00000000-0005-0000-0000-000043000000}"/>
    <cellStyle name="20% - 강조색3 17" xfId="278" xr:uid="{00000000-0005-0000-0000-000044000000}"/>
    <cellStyle name="20% - 강조색3 18" xfId="291" xr:uid="{00000000-0005-0000-0000-000045000000}"/>
    <cellStyle name="20% - 강조색3 19" xfId="304" xr:uid="{00000000-0005-0000-0000-000046000000}"/>
    <cellStyle name="20% - 강조색3 2" xfId="49" xr:uid="{00000000-0005-0000-0000-000047000000}"/>
    <cellStyle name="20% - 강조색3 2 2" xfId="97" xr:uid="{00000000-0005-0000-0000-000048000000}"/>
    <cellStyle name="20% - 강조색3 20" xfId="317" xr:uid="{00000000-0005-0000-0000-000049000000}"/>
    <cellStyle name="20% - 강조색3 21" xfId="330" xr:uid="{00000000-0005-0000-0000-00004A000000}"/>
    <cellStyle name="20% - 강조색3 22" xfId="343" xr:uid="{00000000-0005-0000-0000-00004B000000}"/>
    <cellStyle name="20% - 강조색3 23" xfId="356" xr:uid="{00000000-0005-0000-0000-00004C000000}"/>
    <cellStyle name="20% - 강조색3 24" xfId="369" xr:uid="{00000000-0005-0000-0000-00004D000000}"/>
    <cellStyle name="20% - 강조색3 25" xfId="382" xr:uid="{00000000-0005-0000-0000-00004E000000}"/>
    <cellStyle name="20% - 강조색3 26" xfId="395" xr:uid="{00000000-0005-0000-0000-00004F000000}"/>
    <cellStyle name="20% - 강조색3 27" xfId="408" xr:uid="{00000000-0005-0000-0000-000050000000}"/>
    <cellStyle name="20% - 강조색3 28" xfId="421" xr:uid="{00000000-0005-0000-0000-000051000000}"/>
    <cellStyle name="20% - 강조색3 29" xfId="457" xr:uid="{00000000-0005-0000-0000-000052000000}"/>
    <cellStyle name="20% - 강조색3 3" xfId="83" xr:uid="{00000000-0005-0000-0000-000053000000}"/>
    <cellStyle name="20% - 강조색3 4" xfId="68" xr:uid="{00000000-0005-0000-0000-000054000000}"/>
    <cellStyle name="20% - 강조색3 5" xfId="113" xr:uid="{00000000-0005-0000-0000-000055000000}"/>
    <cellStyle name="20% - 강조색3 6" xfId="127" xr:uid="{00000000-0005-0000-0000-000056000000}"/>
    <cellStyle name="20% - 강조색3 7" xfId="141" xr:uid="{00000000-0005-0000-0000-000057000000}"/>
    <cellStyle name="20% - 강조색3 8" xfId="156" xr:uid="{00000000-0005-0000-0000-000058000000}"/>
    <cellStyle name="20% - 강조색3 9" xfId="170" xr:uid="{00000000-0005-0000-0000-000059000000}"/>
    <cellStyle name="20% - 강조색4" xfId="31" builtinId="42" customBuiltin="1"/>
    <cellStyle name="20% - 강조색4 10" xfId="186" xr:uid="{00000000-0005-0000-0000-00005B000000}"/>
    <cellStyle name="20% - 강조색4 11" xfId="200" xr:uid="{00000000-0005-0000-0000-00005C000000}"/>
    <cellStyle name="20% - 강조색4 12" xfId="214" xr:uid="{00000000-0005-0000-0000-00005D000000}"/>
    <cellStyle name="20% - 강조색4 13" xfId="228" xr:uid="{00000000-0005-0000-0000-00005E000000}"/>
    <cellStyle name="20% - 강조색4 14" xfId="241" xr:uid="{00000000-0005-0000-0000-00005F000000}"/>
    <cellStyle name="20% - 강조색4 15" xfId="254" xr:uid="{00000000-0005-0000-0000-000060000000}"/>
    <cellStyle name="20% - 강조색4 16" xfId="267" xr:uid="{00000000-0005-0000-0000-000061000000}"/>
    <cellStyle name="20% - 강조색4 17" xfId="280" xr:uid="{00000000-0005-0000-0000-000062000000}"/>
    <cellStyle name="20% - 강조색4 18" xfId="293" xr:uid="{00000000-0005-0000-0000-000063000000}"/>
    <cellStyle name="20% - 강조색4 19" xfId="306" xr:uid="{00000000-0005-0000-0000-000064000000}"/>
    <cellStyle name="20% - 강조색4 2" xfId="51" xr:uid="{00000000-0005-0000-0000-000065000000}"/>
    <cellStyle name="20% - 강조색4 2 2" xfId="99" xr:uid="{00000000-0005-0000-0000-000066000000}"/>
    <cellStyle name="20% - 강조색4 20" xfId="319" xr:uid="{00000000-0005-0000-0000-000067000000}"/>
    <cellStyle name="20% - 강조색4 21" xfId="332" xr:uid="{00000000-0005-0000-0000-000068000000}"/>
    <cellStyle name="20% - 강조색4 22" xfId="345" xr:uid="{00000000-0005-0000-0000-000069000000}"/>
    <cellStyle name="20% - 강조색4 23" xfId="358" xr:uid="{00000000-0005-0000-0000-00006A000000}"/>
    <cellStyle name="20% - 강조색4 24" xfId="371" xr:uid="{00000000-0005-0000-0000-00006B000000}"/>
    <cellStyle name="20% - 강조색4 25" xfId="384" xr:uid="{00000000-0005-0000-0000-00006C000000}"/>
    <cellStyle name="20% - 강조색4 26" xfId="397" xr:uid="{00000000-0005-0000-0000-00006D000000}"/>
    <cellStyle name="20% - 강조색4 27" xfId="410" xr:uid="{00000000-0005-0000-0000-00006E000000}"/>
    <cellStyle name="20% - 강조색4 28" xfId="423" xr:uid="{00000000-0005-0000-0000-00006F000000}"/>
    <cellStyle name="20% - 강조색4 29" xfId="461" xr:uid="{00000000-0005-0000-0000-000070000000}"/>
    <cellStyle name="20% - 강조색4 3" xfId="85" xr:uid="{00000000-0005-0000-0000-000071000000}"/>
    <cellStyle name="20% - 강조색4 4" xfId="70" xr:uid="{00000000-0005-0000-0000-000072000000}"/>
    <cellStyle name="20% - 강조색4 5" xfId="115" xr:uid="{00000000-0005-0000-0000-000073000000}"/>
    <cellStyle name="20% - 강조색4 6" xfId="129" xr:uid="{00000000-0005-0000-0000-000074000000}"/>
    <cellStyle name="20% - 강조색4 7" xfId="143" xr:uid="{00000000-0005-0000-0000-000075000000}"/>
    <cellStyle name="20% - 강조색4 8" xfId="158" xr:uid="{00000000-0005-0000-0000-000076000000}"/>
    <cellStyle name="20% - 강조색4 9" xfId="172" xr:uid="{00000000-0005-0000-0000-000077000000}"/>
    <cellStyle name="20% - 강조색5" xfId="35" builtinId="46" customBuiltin="1"/>
    <cellStyle name="20% - 강조색5 10" xfId="188" xr:uid="{00000000-0005-0000-0000-000079000000}"/>
    <cellStyle name="20% - 강조색5 11" xfId="202" xr:uid="{00000000-0005-0000-0000-00007A000000}"/>
    <cellStyle name="20% - 강조색5 12" xfId="216" xr:uid="{00000000-0005-0000-0000-00007B000000}"/>
    <cellStyle name="20% - 강조색5 13" xfId="230" xr:uid="{00000000-0005-0000-0000-00007C000000}"/>
    <cellStyle name="20% - 강조색5 14" xfId="243" xr:uid="{00000000-0005-0000-0000-00007D000000}"/>
    <cellStyle name="20% - 강조색5 15" xfId="256" xr:uid="{00000000-0005-0000-0000-00007E000000}"/>
    <cellStyle name="20% - 강조색5 16" xfId="269" xr:uid="{00000000-0005-0000-0000-00007F000000}"/>
    <cellStyle name="20% - 강조색5 17" xfId="282" xr:uid="{00000000-0005-0000-0000-000080000000}"/>
    <cellStyle name="20% - 강조색5 18" xfId="295" xr:uid="{00000000-0005-0000-0000-000081000000}"/>
    <cellStyle name="20% - 강조색5 19" xfId="308" xr:uid="{00000000-0005-0000-0000-000082000000}"/>
    <cellStyle name="20% - 강조색5 2" xfId="53" xr:uid="{00000000-0005-0000-0000-000083000000}"/>
    <cellStyle name="20% - 강조색5 2 2" xfId="101" xr:uid="{00000000-0005-0000-0000-000084000000}"/>
    <cellStyle name="20% - 강조색5 20" xfId="321" xr:uid="{00000000-0005-0000-0000-000085000000}"/>
    <cellStyle name="20% - 강조색5 21" xfId="334" xr:uid="{00000000-0005-0000-0000-000086000000}"/>
    <cellStyle name="20% - 강조색5 22" xfId="347" xr:uid="{00000000-0005-0000-0000-000087000000}"/>
    <cellStyle name="20% - 강조색5 23" xfId="360" xr:uid="{00000000-0005-0000-0000-000088000000}"/>
    <cellStyle name="20% - 강조색5 24" xfId="373" xr:uid="{00000000-0005-0000-0000-000089000000}"/>
    <cellStyle name="20% - 강조색5 25" xfId="386" xr:uid="{00000000-0005-0000-0000-00008A000000}"/>
    <cellStyle name="20% - 강조색5 26" xfId="399" xr:uid="{00000000-0005-0000-0000-00008B000000}"/>
    <cellStyle name="20% - 강조색5 27" xfId="412" xr:uid="{00000000-0005-0000-0000-00008C000000}"/>
    <cellStyle name="20% - 강조색5 28" xfId="425" xr:uid="{00000000-0005-0000-0000-00008D000000}"/>
    <cellStyle name="20% - 강조색5 29" xfId="465" xr:uid="{00000000-0005-0000-0000-00008E000000}"/>
    <cellStyle name="20% - 강조색5 3" xfId="87" xr:uid="{00000000-0005-0000-0000-00008F000000}"/>
    <cellStyle name="20% - 강조색5 4" xfId="72" xr:uid="{00000000-0005-0000-0000-000090000000}"/>
    <cellStyle name="20% - 강조색5 5" xfId="117" xr:uid="{00000000-0005-0000-0000-000091000000}"/>
    <cellStyle name="20% - 강조색5 6" xfId="131" xr:uid="{00000000-0005-0000-0000-000092000000}"/>
    <cellStyle name="20% - 강조색5 7" xfId="145" xr:uid="{00000000-0005-0000-0000-000093000000}"/>
    <cellStyle name="20% - 강조색5 8" xfId="160" xr:uid="{00000000-0005-0000-0000-000094000000}"/>
    <cellStyle name="20% - 강조색5 9" xfId="174" xr:uid="{00000000-0005-0000-0000-000095000000}"/>
    <cellStyle name="20% - 강조색6" xfId="39" builtinId="50" customBuiltin="1"/>
    <cellStyle name="20% - 강조색6 10" xfId="190" xr:uid="{00000000-0005-0000-0000-000097000000}"/>
    <cellStyle name="20% - 강조색6 11" xfId="204" xr:uid="{00000000-0005-0000-0000-000098000000}"/>
    <cellStyle name="20% - 강조색6 12" xfId="218" xr:uid="{00000000-0005-0000-0000-000099000000}"/>
    <cellStyle name="20% - 강조색6 13" xfId="232" xr:uid="{00000000-0005-0000-0000-00009A000000}"/>
    <cellStyle name="20% - 강조색6 14" xfId="245" xr:uid="{00000000-0005-0000-0000-00009B000000}"/>
    <cellStyle name="20% - 강조색6 15" xfId="258" xr:uid="{00000000-0005-0000-0000-00009C000000}"/>
    <cellStyle name="20% - 강조색6 16" xfId="271" xr:uid="{00000000-0005-0000-0000-00009D000000}"/>
    <cellStyle name="20% - 강조색6 17" xfId="284" xr:uid="{00000000-0005-0000-0000-00009E000000}"/>
    <cellStyle name="20% - 강조색6 18" xfId="297" xr:uid="{00000000-0005-0000-0000-00009F000000}"/>
    <cellStyle name="20% - 강조색6 19" xfId="310" xr:uid="{00000000-0005-0000-0000-0000A0000000}"/>
    <cellStyle name="20% - 강조색6 2" xfId="55" xr:uid="{00000000-0005-0000-0000-0000A1000000}"/>
    <cellStyle name="20% - 강조색6 2 2" xfId="103" xr:uid="{00000000-0005-0000-0000-0000A2000000}"/>
    <cellStyle name="20% - 강조색6 20" xfId="323" xr:uid="{00000000-0005-0000-0000-0000A3000000}"/>
    <cellStyle name="20% - 강조색6 21" xfId="336" xr:uid="{00000000-0005-0000-0000-0000A4000000}"/>
    <cellStyle name="20% - 강조색6 22" xfId="349" xr:uid="{00000000-0005-0000-0000-0000A5000000}"/>
    <cellStyle name="20% - 강조색6 23" xfId="362" xr:uid="{00000000-0005-0000-0000-0000A6000000}"/>
    <cellStyle name="20% - 강조색6 24" xfId="375" xr:uid="{00000000-0005-0000-0000-0000A7000000}"/>
    <cellStyle name="20% - 강조색6 25" xfId="388" xr:uid="{00000000-0005-0000-0000-0000A8000000}"/>
    <cellStyle name="20% - 강조색6 26" xfId="401" xr:uid="{00000000-0005-0000-0000-0000A9000000}"/>
    <cellStyle name="20% - 강조색6 27" xfId="414" xr:uid="{00000000-0005-0000-0000-0000AA000000}"/>
    <cellStyle name="20% - 강조색6 28" xfId="427" xr:uid="{00000000-0005-0000-0000-0000AB000000}"/>
    <cellStyle name="20% - 강조색6 29" xfId="469" xr:uid="{00000000-0005-0000-0000-0000AC000000}"/>
    <cellStyle name="20% - 강조색6 3" xfId="89" xr:uid="{00000000-0005-0000-0000-0000AD000000}"/>
    <cellStyle name="20% - 강조색6 4" xfId="74" xr:uid="{00000000-0005-0000-0000-0000AE000000}"/>
    <cellStyle name="20% - 강조색6 5" xfId="119" xr:uid="{00000000-0005-0000-0000-0000AF000000}"/>
    <cellStyle name="20% - 강조색6 6" xfId="133" xr:uid="{00000000-0005-0000-0000-0000B0000000}"/>
    <cellStyle name="20% - 강조색6 7" xfId="147" xr:uid="{00000000-0005-0000-0000-0000B1000000}"/>
    <cellStyle name="20% - 강조색6 8" xfId="162" xr:uid="{00000000-0005-0000-0000-0000B2000000}"/>
    <cellStyle name="20% - 강조색6 9" xfId="176" xr:uid="{00000000-0005-0000-0000-0000B3000000}"/>
    <cellStyle name="40% - 강조색1" xfId="20" builtinId="31" customBuiltin="1"/>
    <cellStyle name="40% - 강조색1 10" xfId="181" xr:uid="{00000000-0005-0000-0000-0000B5000000}"/>
    <cellStyle name="40% - 강조색1 11" xfId="195" xr:uid="{00000000-0005-0000-0000-0000B6000000}"/>
    <cellStyle name="40% - 강조색1 12" xfId="209" xr:uid="{00000000-0005-0000-0000-0000B7000000}"/>
    <cellStyle name="40% - 강조색1 13" xfId="223" xr:uid="{00000000-0005-0000-0000-0000B8000000}"/>
    <cellStyle name="40% - 강조색1 14" xfId="236" xr:uid="{00000000-0005-0000-0000-0000B9000000}"/>
    <cellStyle name="40% - 강조색1 15" xfId="249" xr:uid="{00000000-0005-0000-0000-0000BA000000}"/>
    <cellStyle name="40% - 강조색1 16" xfId="262" xr:uid="{00000000-0005-0000-0000-0000BB000000}"/>
    <cellStyle name="40% - 강조색1 17" xfId="275" xr:uid="{00000000-0005-0000-0000-0000BC000000}"/>
    <cellStyle name="40% - 강조색1 18" xfId="288" xr:uid="{00000000-0005-0000-0000-0000BD000000}"/>
    <cellStyle name="40% - 강조색1 19" xfId="301" xr:uid="{00000000-0005-0000-0000-0000BE000000}"/>
    <cellStyle name="40% - 강조색1 2" xfId="46" xr:uid="{00000000-0005-0000-0000-0000BF000000}"/>
    <cellStyle name="40% - 강조색1 2 2" xfId="94" xr:uid="{00000000-0005-0000-0000-0000C0000000}"/>
    <cellStyle name="40% - 강조색1 20" xfId="314" xr:uid="{00000000-0005-0000-0000-0000C1000000}"/>
    <cellStyle name="40% - 강조색1 21" xfId="327" xr:uid="{00000000-0005-0000-0000-0000C2000000}"/>
    <cellStyle name="40% - 강조색1 22" xfId="340" xr:uid="{00000000-0005-0000-0000-0000C3000000}"/>
    <cellStyle name="40% - 강조색1 23" xfId="353" xr:uid="{00000000-0005-0000-0000-0000C4000000}"/>
    <cellStyle name="40% - 강조색1 24" xfId="366" xr:uid="{00000000-0005-0000-0000-0000C5000000}"/>
    <cellStyle name="40% - 강조색1 25" xfId="379" xr:uid="{00000000-0005-0000-0000-0000C6000000}"/>
    <cellStyle name="40% - 강조색1 26" xfId="392" xr:uid="{00000000-0005-0000-0000-0000C7000000}"/>
    <cellStyle name="40% - 강조색1 27" xfId="405" xr:uid="{00000000-0005-0000-0000-0000C8000000}"/>
    <cellStyle name="40% - 강조색1 28" xfId="418" xr:uid="{00000000-0005-0000-0000-0000C9000000}"/>
    <cellStyle name="40% - 강조색1 29" xfId="450" xr:uid="{00000000-0005-0000-0000-0000CA000000}"/>
    <cellStyle name="40% - 강조색1 3" xfId="80" xr:uid="{00000000-0005-0000-0000-0000CB000000}"/>
    <cellStyle name="40% - 강조색1 4" xfId="65" xr:uid="{00000000-0005-0000-0000-0000CC000000}"/>
    <cellStyle name="40% - 강조색1 5" xfId="110" xr:uid="{00000000-0005-0000-0000-0000CD000000}"/>
    <cellStyle name="40% - 강조색1 6" xfId="124" xr:uid="{00000000-0005-0000-0000-0000CE000000}"/>
    <cellStyle name="40% - 강조색1 7" xfId="138" xr:uid="{00000000-0005-0000-0000-0000CF000000}"/>
    <cellStyle name="40% - 강조색1 8" xfId="153" xr:uid="{00000000-0005-0000-0000-0000D0000000}"/>
    <cellStyle name="40% - 강조색1 9" xfId="167" xr:uid="{00000000-0005-0000-0000-0000D1000000}"/>
    <cellStyle name="40% - 강조색2" xfId="24" builtinId="35" customBuiltin="1"/>
    <cellStyle name="40% - 강조색2 10" xfId="183" xr:uid="{00000000-0005-0000-0000-0000D3000000}"/>
    <cellStyle name="40% - 강조색2 11" xfId="197" xr:uid="{00000000-0005-0000-0000-0000D4000000}"/>
    <cellStyle name="40% - 강조색2 12" xfId="211" xr:uid="{00000000-0005-0000-0000-0000D5000000}"/>
    <cellStyle name="40% - 강조색2 13" xfId="225" xr:uid="{00000000-0005-0000-0000-0000D6000000}"/>
    <cellStyle name="40% - 강조색2 14" xfId="238" xr:uid="{00000000-0005-0000-0000-0000D7000000}"/>
    <cellStyle name="40% - 강조색2 15" xfId="251" xr:uid="{00000000-0005-0000-0000-0000D8000000}"/>
    <cellStyle name="40% - 강조색2 16" xfId="264" xr:uid="{00000000-0005-0000-0000-0000D9000000}"/>
    <cellStyle name="40% - 강조색2 17" xfId="277" xr:uid="{00000000-0005-0000-0000-0000DA000000}"/>
    <cellStyle name="40% - 강조색2 18" xfId="290" xr:uid="{00000000-0005-0000-0000-0000DB000000}"/>
    <cellStyle name="40% - 강조색2 19" xfId="303" xr:uid="{00000000-0005-0000-0000-0000DC000000}"/>
    <cellStyle name="40% - 강조색2 2" xfId="48" xr:uid="{00000000-0005-0000-0000-0000DD000000}"/>
    <cellStyle name="40% - 강조색2 2 2" xfId="96" xr:uid="{00000000-0005-0000-0000-0000DE000000}"/>
    <cellStyle name="40% - 강조색2 20" xfId="316" xr:uid="{00000000-0005-0000-0000-0000DF000000}"/>
    <cellStyle name="40% - 강조색2 21" xfId="329" xr:uid="{00000000-0005-0000-0000-0000E0000000}"/>
    <cellStyle name="40% - 강조색2 22" xfId="342" xr:uid="{00000000-0005-0000-0000-0000E1000000}"/>
    <cellStyle name="40% - 강조색2 23" xfId="355" xr:uid="{00000000-0005-0000-0000-0000E2000000}"/>
    <cellStyle name="40% - 강조색2 24" xfId="368" xr:uid="{00000000-0005-0000-0000-0000E3000000}"/>
    <cellStyle name="40% - 강조색2 25" xfId="381" xr:uid="{00000000-0005-0000-0000-0000E4000000}"/>
    <cellStyle name="40% - 강조색2 26" xfId="394" xr:uid="{00000000-0005-0000-0000-0000E5000000}"/>
    <cellStyle name="40% - 강조색2 27" xfId="407" xr:uid="{00000000-0005-0000-0000-0000E6000000}"/>
    <cellStyle name="40% - 강조색2 28" xfId="420" xr:uid="{00000000-0005-0000-0000-0000E7000000}"/>
    <cellStyle name="40% - 강조색2 29" xfId="454" xr:uid="{00000000-0005-0000-0000-0000E8000000}"/>
    <cellStyle name="40% - 강조색2 3" xfId="82" xr:uid="{00000000-0005-0000-0000-0000E9000000}"/>
    <cellStyle name="40% - 강조색2 4" xfId="67" xr:uid="{00000000-0005-0000-0000-0000EA000000}"/>
    <cellStyle name="40% - 강조색2 5" xfId="112" xr:uid="{00000000-0005-0000-0000-0000EB000000}"/>
    <cellStyle name="40% - 강조색2 6" xfId="126" xr:uid="{00000000-0005-0000-0000-0000EC000000}"/>
    <cellStyle name="40% - 강조색2 7" xfId="140" xr:uid="{00000000-0005-0000-0000-0000ED000000}"/>
    <cellStyle name="40% - 강조색2 8" xfId="155" xr:uid="{00000000-0005-0000-0000-0000EE000000}"/>
    <cellStyle name="40% - 강조색2 9" xfId="169" xr:uid="{00000000-0005-0000-0000-0000EF000000}"/>
    <cellStyle name="40% - 강조색3" xfId="28" builtinId="39" customBuiltin="1"/>
    <cellStyle name="40% - 강조색3 10" xfId="185" xr:uid="{00000000-0005-0000-0000-0000F1000000}"/>
    <cellStyle name="40% - 강조색3 11" xfId="199" xr:uid="{00000000-0005-0000-0000-0000F2000000}"/>
    <cellStyle name="40% - 강조색3 12" xfId="213" xr:uid="{00000000-0005-0000-0000-0000F3000000}"/>
    <cellStyle name="40% - 강조색3 13" xfId="227" xr:uid="{00000000-0005-0000-0000-0000F4000000}"/>
    <cellStyle name="40% - 강조색3 14" xfId="240" xr:uid="{00000000-0005-0000-0000-0000F5000000}"/>
    <cellStyle name="40% - 강조색3 15" xfId="253" xr:uid="{00000000-0005-0000-0000-0000F6000000}"/>
    <cellStyle name="40% - 강조색3 16" xfId="266" xr:uid="{00000000-0005-0000-0000-0000F7000000}"/>
    <cellStyle name="40% - 강조색3 17" xfId="279" xr:uid="{00000000-0005-0000-0000-0000F8000000}"/>
    <cellStyle name="40% - 강조색3 18" xfId="292" xr:uid="{00000000-0005-0000-0000-0000F9000000}"/>
    <cellStyle name="40% - 강조색3 19" xfId="305" xr:uid="{00000000-0005-0000-0000-0000FA000000}"/>
    <cellStyle name="40% - 강조색3 2" xfId="50" xr:uid="{00000000-0005-0000-0000-0000FB000000}"/>
    <cellStyle name="40% - 강조색3 2 2" xfId="98" xr:uid="{00000000-0005-0000-0000-0000FC000000}"/>
    <cellStyle name="40% - 강조색3 20" xfId="318" xr:uid="{00000000-0005-0000-0000-0000FD000000}"/>
    <cellStyle name="40% - 강조색3 21" xfId="331" xr:uid="{00000000-0005-0000-0000-0000FE000000}"/>
    <cellStyle name="40% - 강조색3 22" xfId="344" xr:uid="{00000000-0005-0000-0000-0000FF000000}"/>
    <cellStyle name="40% - 강조색3 23" xfId="357" xr:uid="{00000000-0005-0000-0000-000000010000}"/>
    <cellStyle name="40% - 강조색3 24" xfId="370" xr:uid="{00000000-0005-0000-0000-000001010000}"/>
    <cellStyle name="40% - 강조색3 25" xfId="383" xr:uid="{00000000-0005-0000-0000-000002010000}"/>
    <cellStyle name="40% - 강조색3 26" xfId="396" xr:uid="{00000000-0005-0000-0000-000003010000}"/>
    <cellStyle name="40% - 강조색3 27" xfId="409" xr:uid="{00000000-0005-0000-0000-000004010000}"/>
    <cellStyle name="40% - 강조색3 28" xfId="422" xr:uid="{00000000-0005-0000-0000-000005010000}"/>
    <cellStyle name="40% - 강조색3 29" xfId="458" xr:uid="{00000000-0005-0000-0000-000006010000}"/>
    <cellStyle name="40% - 강조색3 3" xfId="84" xr:uid="{00000000-0005-0000-0000-000007010000}"/>
    <cellStyle name="40% - 강조색3 4" xfId="69" xr:uid="{00000000-0005-0000-0000-000008010000}"/>
    <cellStyle name="40% - 강조색3 5" xfId="114" xr:uid="{00000000-0005-0000-0000-000009010000}"/>
    <cellStyle name="40% - 강조색3 6" xfId="128" xr:uid="{00000000-0005-0000-0000-00000A010000}"/>
    <cellStyle name="40% - 강조색3 7" xfId="142" xr:uid="{00000000-0005-0000-0000-00000B010000}"/>
    <cellStyle name="40% - 강조색3 8" xfId="157" xr:uid="{00000000-0005-0000-0000-00000C010000}"/>
    <cellStyle name="40% - 강조색3 9" xfId="171" xr:uid="{00000000-0005-0000-0000-00000D010000}"/>
    <cellStyle name="40% - 강조색4" xfId="32" builtinId="43" customBuiltin="1"/>
    <cellStyle name="40% - 강조색4 10" xfId="187" xr:uid="{00000000-0005-0000-0000-00000F010000}"/>
    <cellStyle name="40% - 강조색4 11" xfId="201" xr:uid="{00000000-0005-0000-0000-000010010000}"/>
    <cellStyle name="40% - 강조색4 12" xfId="215" xr:uid="{00000000-0005-0000-0000-000011010000}"/>
    <cellStyle name="40% - 강조색4 13" xfId="229" xr:uid="{00000000-0005-0000-0000-000012010000}"/>
    <cellStyle name="40% - 강조색4 14" xfId="242" xr:uid="{00000000-0005-0000-0000-000013010000}"/>
    <cellStyle name="40% - 강조색4 15" xfId="255" xr:uid="{00000000-0005-0000-0000-000014010000}"/>
    <cellStyle name="40% - 강조색4 16" xfId="268" xr:uid="{00000000-0005-0000-0000-000015010000}"/>
    <cellStyle name="40% - 강조색4 17" xfId="281" xr:uid="{00000000-0005-0000-0000-000016010000}"/>
    <cellStyle name="40% - 강조색4 18" xfId="294" xr:uid="{00000000-0005-0000-0000-000017010000}"/>
    <cellStyle name="40% - 강조색4 19" xfId="307" xr:uid="{00000000-0005-0000-0000-000018010000}"/>
    <cellStyle name="40% - 강조색4 2" xfId="52" xr:uid="{00000000-0005-0000-0000-000019010000}"/>
    <cellStyle name="40% - 강조색4 2 2" xfId="100" xr:uid="{00000000-0005-0000-0000-00001A010000}"/>
    <cellStyle name="40% - 강조색4 20" xfId="320" xr:uid="{00000000-0005-0000-0000-00001B010000}"/>
    <cellStyle name="40% - 강조색4 21" xfId="333" xr:uid="{00000000-0005-0000-0000-00001C010000}"/>
    <cellStyle name="40% - 강조색4 22" xfId="346" xr:uid="{00000000-0005-0000-0000-00001D010000}"/>
    <cellStyle name="40% - 강조색4 23" xfId="359" xr:uid="{00000000-0005-0000-0000-00001E010000}"/>
    <cellStyle name="40% - 강조색4 24" xfId="372" xr:uid="{00000000-0005-0000-0000-00001F010000}"/>
    <cellStyle name="40% - 강조색4 25" xfId="385" xr:uid="{00000000-0005-0000-0000-000020010000}"/>
    <cellStyle name="40% - 강조색4 26" xfId="398" xr:uid="{00000000-0005-0000-0000-000021010000}"/>
    <cellStyle name="40% - 강조색4 27" xfId="411" xr:uid="{00000000-0005-0000-0000-000022010000}"/>
    <cellStyle name="40% - 강조색4 28" xfId="424" xr:uid="{00000000-0005-0000-0000-000023010000}"/>
    <cellStyle name="40% - 강조색4 29" xfId="462" xr:uid="{00000000-0005-0000-0000-000024010000}"/>
    <cellStyle name="40% - 강조색4 3" xfId="86" xr:uid="{00000000-0005-0000-0000-000025010000}"/>
    <cellStyle name="40% - 강조색4 4" xfId="71" xr:uid="{00000000-0005-0000-0000-000026010000}"/>
    <cellStyle name="40% - 강조색4 5" xfId="116" xr:uid="{00000000-0005-0000-0000-000027010000}"/>
    <cellStyle name="40% - 강조색4 6" xfId="130" xr:uid="{00000000-0005-0000-0000-000028010000}"/>
    <cellStyle name="40% - 강조색4 7" xfId="144" xr:uid="{00000000-0005-0000-0000-000029010000}"/>
    <cellStyle name="40% - 강조색4 8" xfId="159" xr:uid="{00000000-0005-0000-0000-00002A010000}"/>
    <cellStyle name="40% - 강조색4 9" xfId="173" xr:uid="{00000000-0005-0000-0000-00002B010000}"/>
    <cellStyle name="40% - 강조색5" xfId="36" builtinId="47" customBuiltin="1"/>
    <cellStyle name="40% - 강조색5 10" xfId="189" xr:uid="{00000000-0005-0000-0000-00002D010000}"/>
    <cellStyle name="40% - 강조색5 11" xfId="203" xr:uid="{00000000-0005-0000-0000-00002E010000}"/>
    <cellStyle name="40% - 강조색5 12" xfId="217" xr:uid="{00000000-0005-0000-0000-00002F010000}"/>
    <cellStyle name="40% - 강조색5 13" xfId="231" xr:uid="{00000000-0005-0000-0000-000030010000}"/>
    <cellStyle name="40% - 강조색5 14" xfId="244" xr:uid="{00000000-0005-0000-0000-000031010000}"/>
    <cellStyle name="40% - 강조색5 15" xfId="257" xr:uid="{00000000-0005-0000-0000-000032010000}"/>
    <cellStyle name="40% - 강조색5 16" xfId="270" xr:uid="{00000000-0005-0000-0000-000033010000}"/>
    <cellStyle name="40% - 강조색5 17" xfId="283" xr:uid="{00000000-0005-0000-0000-000034010000}"/>
    <cellStyle name="40% - 강조색5 18" xfId="296" xr:uid="{00000000-0005-0000-0000-000035010000}"/>
    <cellStyle name="40% - 강조색5 19" xfId="309" xr:uid="{00000000-0005-0000-0000-000036010000}"/>
    <cellStyle name="40% - 강조색5 2" xfId="54" xr:uid="{00000000-0005-0000-0000-000037010000}"/>
    <cellStyle name="40% - 강조색5 2 2" xfId="102" xr:uid="{00000000-0005-0000-0000-000038010000}"/>
    <cellStyle name="40% - 강조색5 20" xfId="322" xr:uid="{00000000-0005-0000-0000-000039010000}"/>
    <cellStyle name="40% - 강조색5 21" xfId="335" xr:uid="{00000000-0005-0000-0000-00003A010000}"/>
    <cellStyle name="40% - 강조색5 22" xfId="348" xr:uid="{00000000-0005-0000-0000-00003B010000}"/>
    <cellStyle name="40% - 강조색5 23" xfId="361" xr:uid="{00000000-0005-0000-0000-00003C010000}"/>
    <cellStyle name="40% - 강조색5 24" xfId="374" xr:uid="{00000000-0005-0000-0000-00003D010000}"/>
    <cellStyle name="40% - 강조색5 25" xfId="387" xr:uid="{00000000-0005-0000-0000-00003E010000}"/>
    <cellStyle name="40% - 강조색5 26" xfId="400" xr:uid="{00000000-0005-0000-0000-00003F010000}"/>
    <cellStyle name="40% - 강조색5 27" xfId="413" xr:uid="{00000000-0005-0000-0000-000040010000}"/>
    <cellStyle name="40% - 강조색5 28" xfId="426" xr:uid="{00000000-0005-0000-0000-000041010000}"/>
    <cellStyle name="40% - 강조색5 29" xfId="466" xr:uid="{00000000-0005-0000-0000-000042010000}"/>
    <cellStyle name="40% - 강조색5 3" xfId="88" xr:uid="{00000000-0005-0000-0000-000043010000}"/>
    <cellStyle name="40% - 강조색5 4" xfId="73" xr:uid="{00000000-0005-0000-0000-000044010000}"/>
    <cellStyle name="40% - 강조색5 5" xfId="118" xr:uid="{00000000-0005-0000-0000-000045010000}"/>
    <cellStyle name="40% - 강조색5 6" xfId="132" xr:uid="{00000000-0005-0000-0000-000046010000}"/>
    <cellStyle name="40% - 강조색5 7" xfId="146" xr:uid="{00000000-0005-0000-0000-000047010000}"/>
    <cellStyle name="40% - 강조색5 8" xfId="161" xr:uid="{00000000-0005-0000-0000-000048010000}"/>
    <cellStyle name="40% - 강조색5 9" xfId="175" xr:uid="{00000000-0005-0000-0000-000049010000}"/>
    <cellStyle name="40% - 강조색6" xfId="40" builtinId="51" customBuiltin="1"/>
    <cellStyle name="40% - 강조색6 10" xfId="191" xr:uid="{00000000-0005-0000-0000-00004B010000}"/>
    <cellStyle name="40% - 강조색6 11" xfId="205" xr:uid="{00000000-0005-0000-0000-00004C010000}"/>
    <cellStyle name="40% - 강조색6 12" xfId="219" xr:uid="{00000000-0005-0000-0000-00004D010000}"/>
    <cellStyle name="40% - 강조색6 13" xfId="233" xr:uid="{00000000-0005-0000-0000-00004E010000}"/>
    <cellStyle name="40% - 강조색6 14" xfId="246" xr:uid="{00000000-0005-0000-0000-00004F010000}"/>
    <cellStyle name="40% - 강조색6 15" xfId="259" xr:uid="{00000000-0005-0000-0000-000050010000}"/>
    <cellStyle name="40% - 강조색6 16" xfId="272" xr:uid="{00000000-0005-0000-0000-000051010000}"/>
    <cellStyle name="40% - 강조색6 17" xfId="285" xr:uid="{00000000-0005-0000-0000-000052010000}"/>
    <cellStyle name="40% - 강조색6 18" xfId="298" xr:uid="{00000000-0005-0000-0000-000053010000}"/>
    <cellStyle name="40% - 강조색6 19" xfId="311" xr:uid="{00000000-0005-0000-0000-000054010000}"/>
    <cellStyle name="40% - 강조색6 2" xfId="56" xr:uid="{00000000-0005-0000-0000-000055010000}"/>
    <cellStyle name="40% - 강조색6 2 2" xfId="104" xr:uid="{00000000-0005-0000-0000-000056010000}"/>
    <cellStyle name="40% - 강조색6 20" xfId="324" xr:uid="{00000000-0005-0000-0000-000057010000}"/>
    <cellStyle name="40% - 강조색6 21" xfId="337" xr:uid="{00000000-0005-0000-0000-000058010000}"/>
    <cellStyle name="40% - 강조색6 22" xfId="350" xr:uid="{00000000-0005-0000-0000-000059010000}"/>
    <cellStyle name="40% - 강조색6 23" xfId="363" xr:uid="{00000000-0005-0000-0000-00005A010000}"/>
    <cellStyle name="40% - 강조색6 24" xfId="376" xr:uid="{00000000-0005-0000-0000-00005B010000}"/>
    <cellStyle name="40% - 강조색6 25" xfId="389" xr:uid="{00000000-0005-0000-0000-00005C010000}"/>
    <cellStyle name="40% - 강조색6 26" xfId="402" xr:uid="{00000000-0005-0000-0000-00005D010000}"/>
    <cellStyle name="40% - 강조색6 27" xfId="415" xr:uid="{00000000-0005-0000-0000-00005E010000}"/>
    <cellStyle name="40% - 강조색6 28" xfId="428" xr:uid="{00000000-0005-0000-0000-00005F010000}"/>
    <cellStyle name="40% - 강조색6 29" xfId="470" xr:uid="{00000000-0005-0000-0000-000060010000}"/>
    <cellStyle name="40% - 강조색6 3" xfId="90" xr:uid="{00000000-0005-0000-0000-000061010000}"/>
    <cellStyle name="40% - 강조색6 4" xfId="75" xr:uid="{00000000-0005-0000-0000-000062010000}"/>
    <cellStyle name="40% - 강조색6 5" xfId="120" xr:uid="{00000000-0005-0000-0000-000063010000}"/>
    <cellStyle name="40% - 강조색6 6" xfId="134" xr:uid="{00000000-0005-0000-0000-000064010000}"/>
    <cellStyle name="40% - 강조색6 7" xfId="148" xr:uid="{00000000-0005-0000-0000-000065010000}"/>
    <cellStyle name="40% - 강조색6 8" xfId="163" xr:uid="{00000000-0005-0000-0000-000066010000}"/>
    <cellStyle name="40% - 강조색6 9" xfId="177" xr:uid="{00000000-0005-0000-0000-000067010000}"/>
    <cellStyle name="60% - 강조색1" xfId="21" builtinId="32" customBuiltin="1"/>
    <cellStyle name="60% - 강조색1 2" xfId="451" xr:uid="{00000000-0005-0000-0000-000069010000}"/>
    <cellStyle name="60% - 강조색2" xfId="25" builtinId="36" customBuiltin="1"/>
    <cellStyle name="60% - 강조색2 2" xfId="455" xr:uid="{00000000-0005-0000-0000-00006B010000}"/>
    <cellStyle name="60% - 강조색3" xfId="29" builtinId="40" customBuiltin="1"/>
    <cellStyle name="60% - 강조색3 2" xfId="459" xr:uid="{00000000-0005-0000-0000-00006D010000}"/>
    <cellStyle name="60% - 강조색4" xfId="33" builtinId="44" customBuiltin="1"/>
    <cellStyle name="60% - 강조색4 2" xfId="463" xr:uid="{00000000-0005-0000-0000-00006F010000}"/>
    <cellStyle name="60% - 강조색5" xfId="37" builtinId="48" customBuiltin="1"/>
    <cellStyle name="60% - 강조색5 2" xfId="467" xr:uid="{00000000-0005-0000-0000-000071010000}"/>
    <cellStyle name="60% - 강조색6" xfId="41" builtinId="52" customBuiltin="1"/>
    <cellStyle name="60% - 강조색6 2" xfId="471" xr:uid="{00000000-0005-0000-0000-000073010000}"/>
    <cellStyle name="강조색1" xfId="18" builtinId="29" customBuiltin="1"/>
    <cellStyle name="강조색1 2" xfId="448" xr:uid="{00000000-0005-0000-0000-000075010000}"/>
    <cellStyle name="강조색2" xfId="22" builtinId="33" customBuiltin="1"/>
    <cellStyle name="강조색2 2" xfId="452" xr:uid="{00000000-0005-0000-0000-000077010000}"/>
    <cellStyle name="강조색3" xfId="26" builtinId="37" customBuiltin="1"/>
    <cellStyle name="강조색3 2" xfId="456" xr:uid="{00000000-0005-0000-0000-000079010000}"/>
    <cellStyle name="강조색4" xfId="30" builtinId="41" customBuiltin="1"/>
    <cellStyle name="강조색4 2" xfId="460" xr:uid="{00000000-0005-0000-0000-00007B010000}"/>
    <cellStyle name="강조색5" xfId="34" builtinId="45" customBuiltin="1"/>
    <cellStyle name="강조색5 2" xfId="464" xr:uid="{00000000-0005-0000-0000-00007D010000}"/>
    <cellStyle name="강조색6" xfId="38" builtinId="49" customBuiltin="1"/>
    <cellStyle name="강조색6 2" xfId="468" xr:uid="{00000000-0005-0000-0000-00007F010000}"/>
    <cellStyle name="경고문" xfId="14" builtinId="11" customBuiltin="1"/>
    <cellStyle name="경고문 2" xfId="444" xr:uid="{00000000-0005-0000-0000-000081010000}"/>
    <cellStyle name="계산" xfId="11" builtinId="22" customBuiltin="1"/>
    <cellStyle name="계산 2" xfId="441" xr:uid="{00000000-0005-0000-0000-000083010000}"/>
    <cellStyle name="나쁨" xfId="7" builtinId="27" customBuiltin="1"/>
    <cellStyle name="나쁨 2" xfId="437" xr:uid="{00000000-0005-0000-0000-000085010000}"/>
    <cellStyle name="메모" xfId="15" builtinId="10" customBuiltin="1"/>
    <cellStyle name="메모 10" xfId="179" xr:uid="{00000000-0005-0000-0000-000087010000}"/>
    <cellStyle name="메모 11" xfId="193" xr:uid="{00000000-0005-0000-0000-000088010000}"/>
    <cellStyle name="메모 12" xfId="207" xr:uid="{00000000-0005-0000-0000-000089010000}"/>
    <cellStyle name="메모 13" xfId="221" xr:uid="{00000000-0005-0000-0000-00008A010000}"/>
    <cellStyle name="메모 14" xfId="234" xr:uid="{00000000-0005-0000-0000-00008B010000}"/>
    <cellStyle name="메모 15" xfId="247" xr:uid="{00000000-0005-0000-0000-00008C010000}"/>
    <cellStyle name="메모 16" xfId="260" xr:uid="{00000000-0005-0000-0000-00008D010000}"/>
    <cellStyle name="메모 17" xfId="273" xr:uid="{00000000-0005-0000-0000-00008E010000}"/>
    <cellStyle name="메모 18" xfId="286" xr:uid="{00000000-0005-0000-0000-00008F010000}"/>
    <cellStyle name="메모 19" xfId="299" xr:uid="{00000000-0005-0000-0000-000090010000}"/>
    <cellStyle name="메모 2" xfId="44" xr:uid="{00000000-0005-0000-0000-000091010000}"/>
    <cellStyle name="메모 2 2" xfId="92" xr:uid="{00000000-0005-0000-0000-000092010000}"/>
    <cellStyle name="메모 20" xfId="312" xr:uid="{00000000-0005-0000-0000-000093010000}"/>
    <cellStyle name="메모 21" xfId="325" xr:uid="{00000000-0005-0000-0000-000094010000}"/>
    <cellStyle name="메모 22" xfId="338" xr:uid="{00000000-0005-0000-0000-000095010000}"/>
    <cellStyle name="메모 23" xfId="351" xr:uid="{00000000-0005-0000-0000-000096010000}"/>
    <cellStyle name="메모 24" xfId="364" xr:uid="{00000000-0005-0000-0000-000097010000}"/>
    <cellStyle name="메모 25" xfId="377" xr:uid="{00000000-0005-0000-0000-000098010000}"/>
    <cellStyle name="메모 26" xfId="390" xr:uid="{00000000-0005-0000-0000-000099010000}"/>
    <cellStyle name="메모 27" xfId="403" xr:uid="{00000000-0005-0000-0000-00009A010000}"/>
    <cellStyle name="메모 28" xfId="416" xr:uid="{00000000-0005-0000-0000-00009B010000}"/>
    <cellStyle name="메모 29" xfId="445" xr:uid="{00000000-0005-0000-0000-00009C010000}"/>
    <cellStyle name="메모 3" xfId="78" xr:uid="{00000000-0005-0000-0000-00009D010000}"/>
    <cellStyle name="메모 4" xfId="63" xr:uid="{00000000-0005-0000-0000-00009E010000}"/>
    <cellStyle name="메모 5" xfId="108" xr:uid="{00000000-0005-0000-0000-00009F010000}"/>
    <cellStyle name="메모 6" xfId="122" xr:uid="{00000000-0005-0000-0000-0000A0010000}"/>
    <cellStyle name="메모 7" xfId="136" xr:uid="{00000000-0005-0000-0000-0000A1010000}"/>
    <cellStyle name="메모 8" xfId="151" xr:uid="{00000000-0005-0000-0000-0000A2010000}"/>
    <cellStyle name="메모 9" xfId="165" xr:uid="{00000000-0005-0000-0000-0000A3010000}"/>
    <cellStyle name="백분율" xfId="481" builtinId="5"/>
    <cellStyle name="백분율 2" xfId="430" xr:uid="{00000000-0005-0000-0000-0000A4010000}"/>
    <cellStyle name="보통" xfId="8" builtinId="28" customBuiltin="1"/>
    <cellStyle name="보통 2" xfId="438" xr:uid="{00000000-0005-0000-0000-0000A6010000}"/>
    <cellStyle name="설명 텍스트" xfId="16" builtinId="53" customBuiltin="1"/>
    <cellStyle name="설명 텍스트 2" xfId="446" xr:uid="{00000000-0005-0000-0000-0000A8010000}"/>
    <cellStyle name="셀 확인" xfId="13" builtinId="23" customBuiltin="1"/>
    <cellStyle name="셀 확인 2" xfId="443" xr:uid="{00000000-0005-0000-0000-0000AA010000}"/>
    <cellStyle name="쉼표 [0]" xfId="482" builtinId="6"/>
    <cellStyle name="쉼표 [0] 10" xfId="164" xr:uid="{00000000-0005-0000-0000-0000AC010000}"/>
    <cellStyle name="쉼표 [0] 11" xfId="178" xr:uid="{00000000-0005-0000-0000-0000AD010000}"/>
    <cellStyle name="쉼표 [0] 12" xfId="192" xr:uid="{00000000-0005-0000-0000-0000AE010000}"/>
    <cellStyle name="쉼표 [0] 13" xfId="206" xr:uid="{00000000-0005-0000-0000-0000AF010000}"/>
    <cellStyle name="쉼표 [0] 14" xfId="220" xr:uid="{00000000-0005-0000-0000-0000B0010000}"/>
    <cellStyle name="쉼표 [0] 15" xfId="478" xr:uid="{00000000-0005-0000-0000-0000B1010000}"/>
    <cellStyle name="쉼표 [0] 2" xfId="59" xr:uid="{00000000-0005-0000-0000-0000B2010000}"/>
    <cellStyle name="쉼표 [0] 2 2" xfId="106" xr:uid="{00000000-0005-0000-0000-0000B3010000}"/>
    <cellStyle name="쉼표 [0] 3" xfId="43" xr:uid="{00000000-0005-0000-0000-0000B4010000}"/>
    <cellStyle name="쉼표 [0] 3 2" xfId="91" xr:uid="{00000000-0005-0000-0000-0000B5010000}"/>
    <cellStyle name="쉼표 [0] 4" xfId="77" xr:uid="{00000000-0005-0000-0000-0000B6010000}"/>
    <cellStyle name="쉼표 [0] 5" xfId="121" xr:uid="{00000000-0005-0000-0000-0000B7010000}"/>
    <cellStyle name="쉼표 [0] 6" xfId="61" xr:uid="{00000000-0005-0000-0000-0000B8010000}"/>
    <cellStyle name="쉼표 [0] 6 2" xfId="107" xr:uid="{00000000-0005-0000-0000-0000B9010000}"/>
    <cellStyle name="쉼표 [0] 7" xfId="57" xr:uid="{00000000-0005-0000-0000-0000BA010000}"/>
    <cellStyle name="쉼표 [0] 7 2" xfId="105" xr:uid="{00000000-0005-0000-0000-0000BB010000}"/>
    <cellStyle name="쉼표 [0] 7 3" xfId="483" xr:uid="{3F219BFF-FB6C-4A86-BF92-17DD877F54D7}"/>
    <cellStyle name="쉼표 [0] 8" xfId="135" xr:uid="{00000000-0005-0000-0000-0000BC010000}"/>
    <cellStyle name="쉼표 [0] 9" xfId="150" xr:uid="{00000000-0005-0000-0000-0000BD010000}"/>
    <cellStyle name="연결된 셀" xfId="12" builtinId="24" customBuiltin="1"/>
    <cellStyle name="연결된 셀 2" xfId="442" xr:uid="{00000000-0005-0000-0000-0000BF010000}"/>
    <cellStyle name="요약" xfId="17" builtinId="25" customBuiltin="1"/>
    <cellStyle name="요약 2" xfId="447" xr:uid="{00000000-0005-0000-0000-0000C1010000}"/>
    <cellStyle name="입력" xfId="9" builtinId="20" customBuiltin="1"/>
    <cellStyle name="입력 2" xfId="439" xr:uid="{00000000-0005-0000-0000-0000C3010000}"/>
    <cellStyle name="제목" xfId="1" builtinId="15" customBuiltin="1"/>
    <cellStyle name="제목 1" xfId="2" builtinId="16" customBuiltin="1"/>
    <cellStyle name="제목 1 2" xfId="432" xr:uid="{00000000-0005-0000-0000-0000C6010000}"/>
    <cellStyle name="제목 2" xfId="3" builtinId="17" customBuiltin="1"/>
    <cellStyle name="제목 2 2" xfId="433" xr:uid="{00000000-0005-0000-0000-0000C8010000}"/>
    <cellStyle name="제목 3" xfId="4" builtinId="18" customBuiltin="1"/>
    <cellStyle name="제목 3 2" xfId="434" xr:uid="{00000000-0005-0000-0000-0000CA010000}"/>
    <cellStyle name="제목 4" xfId="5" builtinId="19" customBuiltin="1"/>
    <cellStyle name="제목 4 2" xfId="435" xr:uid="{00000000-0005-0000-0000-0000CC010000}"/>
    <cellStyle name="제목 5" xfId="431" xr:uid="{00000000-0005-0000-0000-0000CD010000}"/>
    <cellStyle name="좋음" xfId="6" builtinId="26" customBuiltin="1"/>
    <cellStyle name="좋음 2" xfId="436" xr:uid="{00000000-0005-0000-0000-0000CF010000}"/>
    <cellStyle name="출력" xfId="10" builtinId="21" customBuiltin="1"/>
    <cellStyle name="출력 2" xfId="440" xr:uid="{00000000-0005-0000-0000-0000D1010000}"/>
    <cellStyle name="표준" xfId="0" builtinId="0"/>
    <cellStyle name="표준 10" xfId="479" xr:uid="{A954F222-3D6D-4948-90EE-F8063CFB0DE1}"/>
    <cellStyle name="표준 11" xfId="480" xr:uid="{44F61995-8FF6-4E74-98E6-3424563F3A44}"/>
    <cellStyle name="표준 2" xfId="58" xr:uid="{00000000-0005-0000-0000-0000D3010000}"/>
    <cellStyle name="표준 2 4" xfId="472" xr:uid="{00000000-0005-0000-0000-0000D4010000}"/>
    <cellStyle name="표준 3" xfId="42" xr:uid="{00000000-0005-0000-0000-0000D5010000}"/>
    <cellStyle name="표준 4" xfId="76" xr:uid="{00000000-0005-0000-0000-0000D6010000}"/>
    <cellStyle name="표준 5" xfId="62" xr:uid="{00000000-0005-0000-0000-0000D7010000}"/>
    <cellStyle name="標準 5" xfId="474" xr:uid="{00000000-0005-0000-0000-0000D8010000}"/>
    <cellStyle name="標準 5 2" xfId="475" xr:uid="{00000000-0005-0000-0000-0000D9010000}"/>
    <cellStyle name="표준 6" xfId="149" xr:uid="{00000000-0005-0000-0000-0000DA010000}"/>
    <cellStyle name="표준 6 2" xfId="473" xr:uid="{00000000-0005-0000-0000-0000DB010000}"/>
    <cellStyle name="표준 7" xfId="429" xr:uid="{00000000-0005-0000-0000-0000DC010000}"/>
    <cellStyle name="표준 8" xfId="60" xr:uid="{00000000-0005-0000-0000-0000DD010000}"/>
    <cellStyle name="표준 8 2" xfId="477" xr:uid="{00000000-0005-0000-0000-0000DE010000}"/>
    <cellStyle name="표준 9" xfId="476" xr:uid="{00000000-0005-0000-0000-0000DF01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544830</xdr:colOff>
          <xdr:row>5</xdr:row>
          <xdr:rowOff>26671</xdr:rowOff>
        </xdr:from>
        <xdr:to>
          <xdr:col>6</xdr:col>
          <xdr:colOff>175260</xdr:colOff>
          <xdr:row>14</xdr:row>
          <xdr:rowOff>22861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ko-KR" altLang="en-US" sz="28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공통경비</a:t>
              </a:r>
              <a:r>
                <a:rPr lang="ko-KR" altLang="en-US" sz="2800" b="0" i="0" u="none" strike="noStrike" baseline="0">
                  <a:solidFill>
                    <a:srgbClr val="000000"/>
                  </a:solidFill>
                  <a:latin typeface="Arial"/>
                  <a:ea typeface="돋움"/>
                  <a:cs typeface="Arial"/>
                </a:rPr>
                <a:t> </a:t>
              </a:r>
              <a:r>
                <a:rPr lang="ko-KR" altLang="en-US" sz="28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대체</a:t>
              </a: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ea typeface="돋움"/>
                  <a:cs typeface="Arial"/>
                </a:rPr>
                <a:t> </a:t>
              </a:r>
              <a:endParaRPr lang="ko-KR" alt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276225</xdr:colOff>
      <xdr:row>1</xdr:row>
      <xdr:rowOff>15240</xdr:rowOff>
    </xdr:from>
    <xdr:to>
      <xdr:col>11</xdr:col>
      <xdr:colOff>532467</xdr:colOff>
      <xdr:row>25</xdr:row>
      <xdr:rowOff>145340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3DF07B0-4BA4-4C69-B724-C11D012DA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339090"/>
          <a:ext cx="6961842" cy="40124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EDD86-ADFC-4AC8-9F63-324EA12E22C7}">
  <sheetPr codeName="Sheet1">
    <pageSetUpPr fitToPage="1"/>
  </sheetPr>
  <dimension ref="G1:Q1048256"/>
  <sheetViews>
    <sheetView tabSelected="1" workbookViewId="0">
      <selection activeCell="I20" sqref="I20"/>
    </sheetView>
  </sheetViews>
  <sheetFormatPr defaultColWidth="11.42578125" defaultRowHeight="12.75"/>
  <cols>
    <col min="1" max="1" width="11.140625" style="14" bestFit="1" customWidth="1"/>
    <col min="2" max="2" width="11.7109375" style="14" bestFit="1" customWidth="1"/>
    <col min="3" max="3" width="12.28515625" style="14" bestFit="1" customWidth="1"/>
    <col min="4" max="4" width="15.85546875" style="14" bestFit="1" customWidth="1"/>
    <col min="5" max="5" width="9.28515625" style="14" bestFit="1" customWidth="1"/>
    <col min="6" max="6" width="11.85546875" style="14" bestFit="1" customWidth="1"/>
    <col min="7" max="8" width="11" style="14" bestFit="1" customWidth="1"/>
    <col min="9" max="9" width="45.7109375" style="14" bestFit="1" customWidth="1"/>
    <col min="10" max="10" width="9.140625" style="14" bestFit="1" customWidth="1"/>
    <col min="11" max="11" width="12" style="14" bestFit="1" customWidth="1"/>
    <col min="12" max="12" width="9.5703125" style="14" bestFit="1" customWidth="1"/>
    <col min="13" max="13" width="12" style="14" bestFit="1" customWidth="1"/>
    <col min="14" max="14" width="11.140625" style="14" bestFit="1" customWidth="1"/>
    <col min="15" max="16" width="17.85546875" style="26" customWidth="1"/>
    <col min="17" max="17" width="13.28515625" style="26" bestFit="1" customWidth="1"/>
    <col min="18" max="16384" width="11.42578125" style="14"/>
  </cols>
  <sheetData>
    <row r="1" spans="7:16">
      <c r="G1" s="15"/>
      <c r="H1" s="15"/>
      <c r="K1" s="16"/>
      <c r="M1" s="16"/>
      <c r="O1" s="28"/>
      <c r="P1" s="28"/>
    </row>
    <row r="2" spans="7:16">
      <c r="G2" s="15"/>
      <c r="H2" s="15"/>
      <c r="K2" s="16"/>
      <c r="M2" s="16"/>
      <c r="O2" s="28"/>
      <c r="P2" s="28"/>
    </row>
    <row r="3" spans="7:16">
      <c r="G3" s="15"/>
      <c r="H3" s="15"/>
      <c r="K3" s="16"/>
      <c r="M3" s="16"/>
      <c r="O3" s="28"/>
      <c r="P3" s="28"/>
    </row>
    <row r="4" spans="7:16">
      <c r="G4" s="15"/>
      <c r="H4" s="15"/>
      <c r="K4" s="16"/>
      <c r="M4" s="16"/>
      <c r="O4" s="28"/>
      <c r="P4" s="28"/>
    </row>
    <row r="5" spans="7:16">
      <c r="G5" s="15"/>
      <c r="H5" s="15"/>
      <c r="K5" s="16"/>
      <c r="M5" s="16"/>
      <c r="O5" s="28"/>
      <c r="P5" s="28"/>
    </row>
    <row r="6" spans="7:16">
      <c r="G6" s="15"/>
      <c r="H6" s="15"/>
      <c r="K6" s="16"/>
      <c r="M6" s="16"/>
      <c r="O6" s="28"/>
      <c r="P6" s="28"/>
    </row>
    <row r="7" spans="7:16">
      <c r="G7" s="15"/>
      <c r="H7" s="15"/>
      <c r="K7" s="16"/>
      <c r="M7" s="16"/>
      <c r="O7" s="28"/>
      <c r="P7" s="28"/>
    </row>
    <row r="8" spans="7:16">
      <c r="G8" s="15"/>
      <c r="H8" s="15"/>
      <c r="K8" s="16"/>
      <c r="M8" s="16"/>
      <c r="O8" s="28"/>
      <c r="P8" s="28"/>
    </row>
    <row r="9" spans="7:16">
      <c r="G9" s="15"/>
      <c r="H9" s="15"/>
      <c r="K9" s="16"/>
      <c r="M9" s="16"/>
      <c r="O9" s="28"/>
      <c r="P9" s="28"/>
    </row>
    <row r="10" spans="7:16">
      <c r="G10" s="15"/>
      <c r="H10" s="15"/>
      <c r="K10" s="16"/>
      <c r="M10" s="16"/>
      <c r="O10" s="28"/>
      <c r="P10" s="28"/>
    </row>
    <row r="11" spans="7:16">
      <c r="G11" s="15"/>
      <c r="H11" s="15"/>
      <c r="K11" s="16"/>
      <c r="M11" s="16"/>
      <c r="O11" s="28"/>
      <c r="P11" s="28"/>
    </row>
    <row r="12" spans="7:16">
      <c r="G12" s="15"/>
      <c r="H12" s="15"/>
      <c r="K12" s="16"/>
      <c r="M12" s="16"/>
      <c r="O12" s="28"/>
      <c r="P12" s="28"/>
    </row>
    <row r="13" spans="7:16">
      <c r="G13" s="15"/>
      <c r="H13" s="15"/>
      <c r="K13" s="16"/>
      <c r="M13" s="16"/>
      <c r="O13" s="28"/>
      <c r="P13" s="28"/>
    </row>
    <row r="14" spans="7:16">
      <c r="G14" s="15"/>
      <c r="H14" s="15"/>
      <c r="K14" s="16"/>
      <c r="M14" s="16"/>
      <c r="O14" s="28"/>
      <c r="P14" s="28"/>
    </row>
    <row r="15" spans="7:16">
      <c r="G15" s="15"/>
      <c r="H15" s="15"/>
      <c r="K15" s="16"/>
      <c r="M15" s="16"/>
      <c r="O15" s="28"/>
      <c r="P15" s="28"/>
    </row>
    <row r="1048254" spans="15:16">
      <c r="O1048254" s="27"/>
      <c r="P1048254" s="27"/>
    </row>
    <row r="1048255" spans="15:16">
      <c r="O1048255" s="27"/>
      <c r="P1048255" s="27"/>
    </row>
    <row r="1048256" spans="15:16">
      <c r="O1048256" s="27"/>
      <c r="P1048256" s="27"/>
    </row>
  </sheetData>
  <phoneticPr fontId="47" type="noConversion"/>
  <pageMargins left="0.59055118110236227" right="0.19685039370078741" top="0.59055118110236227" bottom="0.59055118110236227" header="0.51181102362204722" footer="0.51181102362204722"/>
  <pageSetup paperSize="9" scale="42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공통비유저폼팝업">
                <anchor moveWithCells="1" sizeWithCells="1">
                  <from>
                    <xdr:col>1</xdr:col>
                    <xdr:colOff>542925</xdr:colOff>
                    <xdr:row>5</xdr:row>
                    <xdr:rowOff>28575</xdr:rowOff>
                  </from>
                  <to>
                    <xdr:col>6</xdr:col>
                    <xdr:colOff>171450</xdr:colOff>
                    <xdr:row>14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7E56B-8C6F-45EC-9F3E-F62357B91C3A}">
  <sheetPr codeName="Sheet5">
    <tabColor theme="0" tint="-0.499984740745262"/>
  </sheetPr>
  <dimension ref="A1:BO61"/>
  <sheetViews>
    <sheetView topLeftCell="H1" zoomScale="80" zoomScaleNormal="80" workbookViewId="0">
      <selection activeCell="L29" sqref="L29"/>
    </sheetView>
  </sheetViews>
  <sheetFormatPr defaultColWidth="35" defaultRowHeight="16.5"/>
  <cols>
    <col min="1" max="7" width="23.28515625" style="33" hidden="1" customWidth="1"/>
    <col min="8" max="8" width="8" style="34" customWidth="1"/>
    <col min="9" max="9" width="7.140625" style="34" customWidth="1"/>
    <col min="10" max="11" width="16.28515625" style="34" customWidth="1"/>
    <col min="12" max="12" width="8.5703125" style="34" customWidth="1"/>
    <col min="13" max="13" width="8.7109375" style="34" customWidth="1"/>
    <col min="14" max="14" width="22.85546875" style="34" customWidth="1"/>
    <col min="15" max="16" width="0" style="34" hidden="1" customWidth="1"/>
    <col min="17" max="17" width="7.28515625" style="34" customWidth="1"/>
    <col min="18" max="18" width="20.5703125" style="34" customWidth="1"/>
    <col min="19" max="22" width="0" style="34" hidden="1" customWidth="1"/>
    <col min="23" max="23" width="16.5703125" style="34" customWidth="1"/>
    <col min="24" max="27" width="0" style="34" hidden="1" customWidth="1"/>
    <col min="28" max="28" width="25.28515625" style="34" customWidth="1"/>
    <col min="29" max="29" width="35" style="34"/>
    <col min="30" max="30" width="0" style="34" hidden="1" customWidth="1"/>
    <col min="31" max="31" width="35" style="34"/>
    <col min="32" max="32" width="35" style="34" customWidth="1"/>
    <col min="33" max="66" width="35" style="34" hidden="1" customWidth="1"/>
    <col min="67" max="67" width="35" style="34"/>
    <col min="68" max="16384" width="35" style="33"/>
  </cols>
  <sheetData>
    <row r="1" spans="1:67" s="8" customFormat="1" ht="116.25" customHeight="1">
      <c r="A1" s="42" t="s">
        <v>116</v>
      </c>
      <c r="B1" s="42" t="s">
        <v>117</v>
      </c>
      <c r="C1" s="42" t="s">
        <v>118</v>
      </c>
      <c r="D1" s="42" t="s">
        <v>119</v>
      </c>
      <c r="E1" s="42" t="s">
        <v>117</v>
      </c>
      <c r="F1" s="42" t="s">
        <v>120</v>
      </c>
      <c r="G1" s="43" t="s">
        <v>121</v>
      </c>
      <c r="H1" s="44" t="s">
        <v>122</v>
      </c>
      <c r="I1" s="45" t="s">
        <v>123</v>
      </c>
      <c r="J1" s="45" t="s">
        <v>124</v>
      </c>
      <c r="K1" s="45" t="s">
        <v>125</v>
      </c>
      <c r="L1" s="45" t="s">
        <v>126</v>
      </c>
      <c r="M1" s="45" t="s">
        <v>127</v>
      </c>
      <c r="N1" s="45" t="s">
        <v>128</v>
      </c>
      <c r="O1" s="46" t="s">
        <v>129</v>
      </c>
      <c r="P1" s="45" t="s">
        <v>130</v>
      </c>
      <c r="Q1" s="46" t="s">
        <v>131</v>
      </c>
      <c r="R1" s="47" t="s">
        <v>251</v>
      </c>
      <c r="S1" s="46" t="s">
        <v>132</v>
      </c>
      <c r="T1" s="46" t="s">
        <v>133</v>
      </c>
      <c r="U1" s="46" t="s">
        <v>134</v>
      </c>
      <c r="V1" s="46" t="s">
        <v>135</v>
      </c>
      <c r="W1" s="46" t="s">
        <v>252</v>
      </c>
      <c r="X1" s="46" t="s">
        <v>136</v>
      </c>
      <c r="Y1" s="46" t="s">
        <v>137</v>
      </c>
      <c r="Z1" s="46" t="s">
        <v>138</v>
      </c>
      <c r="AA1" s="46" t="s">
        <v>139</v>
      </c>
      <c r="AB1" s="46" t="s">
        <v>140</v>
      </c>
      <c r="AC1" s="46" t="s">
        <v>141</v>
      </c>
      <c r="AD1" s="46" t="s">
        <v>142</v>
      </c>
      <c r="AE1" s="46" t="s">
        <v>143</v>
      </c>
      <c r="AF1" s="48" t="s">
        <v>144</v>
      </c>
      <c r="AG1" s="46" t="s">
        <v>145</v>
      </c>
      <c r="AH1" s="46" t="s">
        <v>146</v>
      </c>
      <c r="AI1" s="46" t="s">
        <v>147</v>
      </c>
      <c r="AJ1" s="46" t="s">
        <v>148</v>
      </c>
      <c r="AK1" s="46" t="s">
        <v>149</v>
      </c>
      <c r="AL1" s="46" t="s">
        <v>150</v>
      </c>
      <c r="AM1" s="46" t="s">
        <v>151</v>
      </c>
      <c r="AN1" s="46" t="s">
        <v>152</v>
      </c>
      <c r="AO1" s="46" t="s">
        <v>153</v>
      </c>
      <c r="AP1" s="46" t="s">
        <v>154</v>
      </c>
      <c r="AQ1" s="46" t="s">
        <v>155</v>
      </c>
      <c r="AR1" s="46" t="s">
        <v>156</v>
      </c>
      <c r="AS1" s="46" t="s">
        <v>157</v>
      </c>
      <c r="AT1" s="46" t="s">
        <v>158</v>
      </c>
      <c r="AU1" s="46" t="s">
        <v>159</v>
      </c>
      <c r="AV1" s="46" t="s">
        <v>160</v>
      </c>
      <c r="AW1" s="46" t="s">
        <v>161</v>
      </c>
      <c r="AX1" s="46" t="s">
        <v>162</v>
      </c>
      <c r="AY1" s="49" t="s">
        <v>163</v>
      </c>
      <c r="AZ1" s="49" t="s">
        <v>164</v>
      </c>
      <c r="BA1" s="49" t="s">
        <v>165</v>
      </c>
      <c r="BB1" s="49" t="s">
        <v>166</v>
      </c>
      <c r="BC1" s="49" t="s">
        <v>167</v>
      </c>
      <c r="BD1" s="49" t="s">
        <v>168</v>
      </c>
      <c r="BE1" s="49" t="s">
        <v>169</v>
      </c>
      <c r="BF1" s="49" t="s">
        <v>170</v>
      </c>
      <c r="BG1" s="49" t="s">
        <v>171</v>
      </c>
      <c r="BH1" s="49" t="s">
        <v>172</v>
      </c>
      <c r="BI1" s="49" t="s">
        <v>173</v>
      </c>
      <c r="BJ1" s="49" t="s">
        <v>174</v>
      </c>
      <c r="BK1" s="49" t="s">
        <v>175</v>
      </c>
      <c r="BL1" s="49" t="s">
        <v>176</v>
      </c>
      <c r="BM1" s="49" t="s">
        <v>177</v>
      </c>
      <c r="BN1" s="49" t="s">
        <v>178</v>
      </c>
      <c r="BO1" s="49" t="s">
        <v>179</v>
      </c>
    </row>
    <row r="2" spans="1:67">
      <c r="A2" s="35"/>
      <c r="B2" s="35"/>
      <c r="C2" s="35"/>
      <c r="D2" s="35"/>
      <c r="E2" s="35"/>
      <c r="F2" s="35"/>
      <c r="G2" s="35"/>
      <c r="H2" s="36" t="s">
        <v>0</v>
      </c>
      <c r="I2" s="36" t="s">
        <v>247</v>
      </c>
      <c r="J2" s="36" t="s">
        <v>254</v>
      </c>
      <c r="K2" s="36" t="s">
        <v>254</v>
      </c>
      <c r="L2" s="36" t="s">
        <v>248</v>
      </c>
      <c r="M2" s="36" t="s">
        <v>3</v>
      </c>
      <c r="N2" s="36" t="s">
        <v>231</v>
      </c>
      <c r="O2" s="36"/>
      <c r="P2" s="36"/>
      <c r="Q2" s="36">
        <v>50</v>
      </c>
      <c r="R2" s="37" t="s">
        <v>2</v>
      </c>
      <c r="S2" s="36"/>
      <c r="T2" s="36"/>
      <c r="U2" s="36"/>
      <c r="V2" s="36"/>
      <c r="W2" s="38">
        <v>3892674</v>
      </c>
      <c r="X2" s="36"/>
      <c r="Y2" s="36"/>
      <c r="Z2" s="36"/>
      <c r="AA2" s="36"/>
      <c r="AB2" s="36" t="s">
        <v>1</v>
      </c>
      <c r="AC2" s="36" t="s">
        <v>229</v>
      </c>
      <c r="AD2" s="36"/>
      <c r="AE2" s="36" t="s">
        <v>255</v>
      </c>
      <c r="AF2" s="36" t="s">
        <v>244</v>
      </c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  <c r="BK2" s="36"/>
      <c r="BL2" s="36"/>
      <c r="BM2" s="36"/>
      <c r="BN2" s="36"/>
      <c r="BO2" s="36" t="s">
        <v>249</v>
      </c>
    </row>
    <row r="3" spans="1:67">
      <c r="A3" s="35"/>
      <c r="B3" s="35"/>
      <c r="C3" s="35"/>
      <c r="D3" s="35"/>
      <c r="E3" s="35"/>
      <c r="F3" s="35"/>
      <c r="G3" s="35"/>
      <c r="H3" s="36"/>
      <c r="I3" s="36"/>
      <c r="J3" s="36"/>
      <c r="K3" s="36"/>
      <c r="L3" s="36"/>
      <c r="M3" s="36"/>
      <c r="N3" s="36"/>
      <c r="O3" s="36"/>
      <c r="P3" s="36"/>
      <c r="Q3" s="36"/>
      <c r="R3" s="37"/>
      <c r="S3" s="36"/>
      <c r="T3" s="36"/>
      <c r="U3" s="36"/>
      <c r="V3" s="36"/>
      <c r="W3" s="38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  <c r="BE3" s="36"/>
      <c r="BF3" s="36"/>
      <c r="BG3" s="36"/>
      <c r="BH3" s="36"/>
      <c r="BI3" s="36"/>
      <c r="BJ3" s="36"/>
      <c r="BK3" s="36"/>
      <c r="BL3" s="36"/>
      <c r="BM3" s="36"/>
      <c r="BN3" s="36"/>
      <c r="BO3" s="36"/>
    </row>
    <row r="4" spans="1:67">
      <c r="A4" s="35"/>
      <c r="B4" s="35"/>
      <c r="C4" s="35"/>
      <c r="D4" s="35"/>
      <c r="E4" s="35"/>
      <c r="F4" s="35"/>
      <c r="G4" s="35"/>
      <c r="H4" s="36"/>
      <c r="I4" s="36"/>
      <c r="J4" s="36"/>
      <c r="K4" s="36"/>
      <c r="L4" s="36"/>
      <c r="M4" s="36"/>
      <c r="N4" s="36"/>
      <c r="O4" s="36"/>
      <c r="P4" s="36"/>
      <c r="Q4" s="36"/>
      <c r="R4" s="37"/>
      <c r="S4" s="36"/>
      <c r="T4" s="36"/>
      <c r="U4" s="36"/>
      <c r="V4" s="36"/>
      <c r="W4" s="38"/>
      <c r="X4" s="36"/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36"/>
      <c r="BD4" s="36"/>
      <c r="BE4" s="36"/>
      <c r="BF4" s="36"/>
      <c r="BG4" s="36"/>
      <c r="BH4" s="36"/>
      <c r="BI4" s="36"/>
      <c r="BJ4" s="36"/>
      <c r="BK4" s="36"/>
      <c r="BL4" s="36"/>
      <c r="BM4" s="36"/>
      <c r="BN4" s="36"/>
      <c r="BO4" s="36"/>
    </row>
    <row r="5" spans="1:67">
      <c r="A5" s="35"/>
      <c r="B5" s="35"/>
      <c r="C5" s="35"/>
      <c r="D5" s="35"/>
      <c r="E5" s="35"/>
      <c r="F5" s="35"/>
      <c r="G5" s="35"/>
      <c r="H5" s="36"/>
      <c r="I5" s="36"/>
      <c r="J5" s="36"/>
      <c r="K5" s="36"/>
      <c r="L5" s="36"/>
      <c r="M5" s="36"/>
      <c r="N5" s="36"/>
      <c r="O5" s="36"/>
      <c r="P5" s="36"/>
      <c r="Q5" s="36"/>
      <c r="R5" s="37"/>
      <c r="S5" s="36"/>
      <c r="T5" s="36"/>
      <c r="U5" s="36"/>
      <c r="V5" s="36"/>
      <c r="W5" s="38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  <c r="BC5" s="36"/>
      <c r="BD5" s="36"/>
      <c r="BE5" s="36"/>
      <c r="BF5" s="36"/>
      <c r="BG5" s="36"/>
      <c r="BH5" s="36"/>
      <c r="BI5" s="36"/>
      <c r="BJ5" s="36"/>
      <c r="BK5" s="36"/>
      <c r="BL5" s="36"/>
      <c r="BM5" s="36"/>
      <c r="BN5" s="36"/>
      <c r="BO5" s="36"/>
    </row>
    <row r="6" spans="1:67">
      <c r="A6" s="35"/>
      <c r="B6" s="35"/>
      <c r="C6" s="35"/>
      <c r="D6" s="35"/>
      <c r="E6" s="35"/>
      <c r="F6" s="35"/>
      <c r="G6" s="35"/>
      <c r="H6" s="36"/>
      <c r="I6" s="36"/>
      <c r="J6" s="36"/>
      <c r="K6" s="36"/>
      <c r="L6" s="36"/>
      <c r="M6" s="36"/>
      <c r="N6" s="36"/>
      <c r="O6" s="36"/>
      <c r="P6" s="36"/>
      <c r="Q6" s="39"/>
      <c r="R6" s="40"/>
      <c r="S6" s="41"/>
      <c r="T6" s="41"/>
      <c r="U6" s="41"/>
      <c r="V6" s="41"/>
      <c r="W6" s="38"/>
      <c r="X6" s="36"/>
      <c r="Y6" s="36"/>
      <c r="Z6" s="36"/>
      <c r="AA6" s="36"/>
      <c r="AB6" s="36"/>
      <c r="AC6" s="36"/>
      <c r="AD6" s="36"/>
      <c r="AE6" s="36"/>
      <c r="AF6" s="36"/>
      <c r="AG6" s="36"/>
      <c r="AH6" s="36"/>
      <c r="AI6" s="36"/>
      <c r="AJ6" s="36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36"/>
      <c r="BD6" s="36"/>
      <c r="BE6" s="36"/>
      <c r="BF6" s="36"/>
      <c r="BG6" s="36"/>
      <c r="BH6" s="36"/>
      <c r="BI6" s="36"/>
      <c r="BJ6" s="36"/>
      <c r="BK6" s="36"/>
      <c r="BL6" s="36"/>
      <c r="BM6" s="36"/>
      <c r="BN6" s="36"/>
      <c r="BO6" s="36"/>
    </row>
    <row r="7" spans="1:67">
      <c r="A7" s="35"/>
      <c r="B7" s="35"/>
      <c r="C7" s="35"/>
      <c r="D7" s="35"/>
      <c r="E7" s="35"/>
      <c r="F7" s="35"/>
      <c r="G7" s="35"/>
      <c r="H7" s="36"/>
      <c r="I7" s="36"/>
      <c r="J7" s="36"/>
      <c r="K7" s="36"/>
      <c r="L7" s="36"/>
      <c r="M7" s="36"/>
      <c r="N7" s="36"/>
      <c r="O7" s="36"/>
      <c r="P7" s="36"/>
      <c r="Q7" s="36"/>
      <c r="R7" s="37"/>
      <c r="S7" s="36"/>
      <c r="T7" s="36"/>
      <c r="U7" s="36"/>
      <c r="V7" s="36"/>
      <c r="W7" s="38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36"/>
      <c r="AK7" s="36"/>
      <c r="AL7" s="36"/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36"/>
      <c r="BD7" s="36"/>
      <c r="BE7" s="36"/>
      <c r="BF7" s="36"/>
      <c r="BG7" s="36"/>
      <c r="BH7" s="36"/>
      <c r="BI7" s="36"/>
      <c r="BJ7" s="36"/>
      <c r="BK7" s="36"/>
      <c r="BL7" s="36"/>
      <c r="BM7" s="36"/>
      <c r="BN7" s="36"/>
      <c r="BO7" s="36"/>
    </row>
    <row r="8" spans="1:67">
      <c r="A8" s="35"/>
      <c r="B8" s="35"/>
      <c r="C8" s="35"/>
      <c r="D8" s="35"/>
      <c r="E8" s="35"/>
      <c r="F8" s="35"/>
      <c r="G8" s="35"/>
      <c r="H8" s="36"/>
      <c r="I8" s="36"/>
      <c r="J8" s="36"/>
      <c r="K8" s="36"/>
      <c r="L8" s="36"/>
      <c r="M8" s="36"/>
      <c r="N8" s="36"/>
      <c r="O8" s="36"/>
      <c r="P8" s="36"/>
      <c r="Q8" s="36"/>
      <c r="R8" s="37"/>
      <c r="S8" s="36"/>
      <c r="T8" s="36"/>
      <c r="U8" s="36"/>
      <c r="V8" s="36"/>
      <c r="W8" s="38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36"/>
      <c r="AI8" s="36"/>
      <c r="AJ8" s="36"/>
      <c r="AK8" s="36"/>
      <c r="AL8" s="36"/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6"/>
      <c r="AZ8" s="36"/>
      <c r="BA8" s="36"/>
      <c r="BB8" s="36"/>
      <c r="BC8" s="36"/>
      <c r="BD8" s="36"/>
      <c r="BE8" s="36"/>
      <c r="BF8" s="36"/>
      <c r="BG8" s="36"/>
      <c r="BH8" s="36"/>
      <c r="BI8" s="36"/>
      <c r="BJ8" s="36"/>
      <c r="BK8" s="36"/>
      <c r="BL8" s="36"/>
      <c r="BM8" s="36"/>
      <c r="BN8" s="36"/>
      <c r="BO8" s="36"/>
    </row>
    <row r="9" spans="1:67">
      <c r="A9" s="35"/>
      <c r="B9" s="35"/>
      <c r="C9" s="35"/>
      <c r="D9" s="35"/>
      <c r="E9" s="35"/>
      <c r="F9" s="35"/>
      <c r="G9" s="35"/>
      <c r="H9" s="36"/>
      <c r="I9" s="36"/>
      <c r="J9" s="36"/>
      <c r="K9" s="36"/>
      <c r="L9" s="36"/>
      <c r="M9" s="36"/>
      <c r="N9" s="36"/>
      <c r="O9" s="36"/>
      <c r="P9" s="36"/>
      <c r="Q9" s="36"/>
      <c r="R9" s="37"/>
      <c r="S9" s="36"/>
      <c r="T9" s="36"/>
      <c r="U9" s="36"/>
      <c r="V9" s="36"/>
      <c r="W9" s="38"/>
      <c r="X9" s="36"/>
      <c r="Y9" s="36"/>
      <c r="Z9" s="36"/>
      <c r="AA9" s="36"/>
      <c r="AB9" s="36"/>
      <c r="AC9" s="36"/>
      <c r="AD9" s="36"/>
      <c r="AE9" s="36"/>
      <c r="AF9" s="36"/>
      <c r="AG9" s="36"/>
      <c r="AH9" s="36"/>
      <c r="AI9" s="36"/>
      <c r="AJ9" s="36"/>
      <c r="AK9" s="36"/>
      <c r="AL9" s="36"/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36"/>
      <c r="BD9" s="36"/>
      <c r="BE9" s="36"/>
      <c r="BF9" s="36"/>
      <c r="BG9" s="36"/>
      <c r="BH9" s="36"/>
      <c r="BI9" s="36"/>
      <c r="BJ9" s="36"/>
      <c r="BK9" s="36"/>
      <c r="BL9" s="36"/>
      <c r="BM9" s="36"/>
      <c r="BN9" s="36"/>
      <c r="BO9" s="36"/>
    </row>
    <row r="10" spans="1:67">
      <c r="A10" s="35"/>
      <c r="B10" s="35"/>
      <c r="C10" s="35"/>
      <c r="D10" s="35"/>
      <c r="E10" s="35"/>
      <c r="F10" s="35"/>
      <c r="G10" s="35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7"/>
      <c r="S10" s="36"/>
      <c r="T10" s="36"/>
      <c r="U10" s="36"/>
      <c r="V10" s="36"/>
      <c r="W10" s="38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  <c r="BI10" s="36"/>
      <c r="BJ10" s="36"/>
      <c r="BK10" s="36"/>
      <c r="BL10" s="36"/>
      <c r="BM10" s="36"/>
      <c r="BN10" s="36"/>
      <c r="BO10" s="36"/>
    </row>
    <row r="11" spans="1:67">
      <c r="A11" s="35"/>
      <c r="B11" s="35"/>
      <c r="C11" s="35"/>
      <c r="D11" s="35"/>
      <c r="E11" s="35"/>
      <c r="F11" s="35"/>
      <c r="G11" s="35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7"/>
      <c r="S11" s="36"/>
      <c r="T11" s="36"/>
      <c r="U11" s="36"/>
      <c r="V11" s="36"/>
      <c r="W11" s="38"/>
      <c r="X11" s="36"/>
      <c r="Y11" s="36"/>
      <c r="Z11" s="36"/>
      <c r="AA11" s="36"/>
      <c r="AB11" s="36"/>
      <c r="AC11" s="36"/>
      <c r="AD11" s="36"/>
      <c r="AE11" s="36"/>
      <c r="AF11" s="36"/>
      <c r="AG11" s="36"/>
      <c r="AH11" s="36"/>
      <c r="AI11" s="36"/>
      <c r="AJ11" s="36"/>
      <c r="AK11" s="36"/>
      <c r="AL11" s="36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  <c r="BC11" s="36"/>
      <c r="BD11" s="36"/>
      <c r="BE11" s="36"/>
      <c r="BF11" s="36"/>
      <c r="BG11" s="36"/>
      <c r="BH11" s="36"/>
      <c r="BI11" s="36"/>
      <c r="BJ11" s="36"/>
      <c r="BK11" s="36"/>
      <c r="BL11" s="36"/>
      <c r="BM11" s="36"/>
      <c r="BN11" s="36"/>
      <c r="BO11" s="36"/>
    </row>
    <row r="12" spans="1:67">
      <c r="A12" s="35"/>
      <c r="B12" s="35"/>
      <c r="C12" s="35"/>
      <c r="D12" s="35"/>
      <c r="E12" s="35"/>
      <c r="F12" s="35"/>
      <c r="G12" s="35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7"/>
      <c r="S12" s="36"/>
      <c r="T12" s="36"/>
      <c r="U12" s="36"/>
      <c r="V12" s="36"/>
      <c r="W12" s="38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J12" s="36"/>
      <c r="AK12" s="36"/>
      <c r="AL12" s="36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36"/>
      <c r="BD12" s="36"/>
      <c r="BE12" s="36"/>
      <c r="BF12" s="36"/>
      <c r="BG12" s="36"/>
      <c r="BH12" s="36"/>
      <c r="BI12" s="36"/>
      <c r="BJ12" s="36"/>
      <c r="BK12" s="36"/>
      <c r="BL12" s="36"/>
      <c r="BM12" s="36"/>
      <c r="BN12" s="36"/>
      <c r="BO12" s="36"/>
    </row>
    <row r="13" spans="1:67">
      <c r="A13" s="35"/>
      <c r="B13" s="35"/>
      <c r="C13" s="35"/>
      <c r="D13" s="35"/>
      <c r="E13" s="35"/>
      <c r="F13" s="35"/>
      <c r="G13" s="35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40"/>
      <c r="S13" s="39"/>
      <c r="T13" s="39"/>
      <c r="U13" s="39"/>
      <c r="V13" s="39"/>
      <c r="W13" s="38"/>
      <c r="X13" s="36"/>
      <c r="Y13" s="36"/>
      <c r="Z13" s="36"/>
      <c r="AA13" s="36"/>
      <c r="AB13" s="36"/>
      <c r="AC13" s="36"/>
      <c r="AD13" s="36"/>
      <c r="AE13" s="36"/>
      <c r="AF13" s="36"/>
      <c r="AG13" s="36"/>
      <c r="AH13" s="36"/>
      <c r="AI13" s="36"/>
      <c r="AJ13" s="36"/>
      <c r="AK13" s="36"/>
      <c r="AL13" s="36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36"/>
      <c r="BD13" s="36"/>
      <c r="BE13" s="36"/>
      <c r="BF13" s="36"/>
      <c r="BG13" s="36"/>
      <c r="BH13" s="36"/>
      <c r="BI13" s="36"/>
      <c r="BJ13" s="36"/>
      <c r="BK13" s="36"/>
      <c r="BL13" s="36"/>
      <c r="BM13" s="36"/>
      <c r="BN13" s="36"/>
      <c r="BO13" s="36"/>
    </row>
    <row r="14" spans="1:67">
      <c r="A14" s="35"/>
      <c r="B14" s="35"/>
      <c r="C14" s="35"/>
      <c r="D14" s="35"/>
      <c r="E14" s="35"/>
      <c r="F14" s="35"/>
      <c r="G14" s="35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7"/>
      <c r="S14" s="36"/>
      <c r="T14" s="36"/>
      <c r="U14" s="36"/>
      <c r="V14" s="36"/>
      <c r="W14" s="38"/>
      <c r="X14" s="36"/>
      <c r="Y14" s="36"/>
      <c r="Z14" s="36"/>
      <c r="AA14" s="36"/>
      <c r="AB14" s="36"/>
      <c r="AC14" s="36"/>
      <c r="AD14" s="36"/>
      <c r="AE14" s="36"/>
      <c r="AF14" s="36"/>
      <c r="AG14" s="36"/>
      <c r="AH14" s="36"/>
      <c r="AI14" s="36"/>
      <c r="AJ14" s="36"/>
      <c r="AK14" s="36"/>
      <c r="AL14" s="36"/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36"/>
      <c r="BA14" s="36"/>
      <c r="BB14" s="36"/>
      <c r="BC14" s="36"/>
      <c r="BD14" s="36"/>
      <c r="BE14" s="36"/>
      <c r="BF14" s="36"/>
      <c r="BG14" s="36"/>
      <c r="BH14" s="36"/>
      <c r="BI14" s="36"/>
      <c r="BJ14" s="36"/>
      <c r="BK14" s="36"/>
      <c r="BL14" s="36"/>
      <c r="BM14" s="36"/>
      <c r="BN14" s="36"/>
      <c r="BO14" s="36"/>
    </row>
    <row r="15" spans="1:67">
      <c r="A15" s="35"/>
      <c r="B15" s="35"/>
      <c r="C15" s="35"/>
      <c r="D15" s="35"/>
      <c r="E15" s="35"/>
      <c r="F15" s="35"/>
      <c r="G15" s="35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7"/>
      <c r="S15" s="36"/>
      <c r="T15" s="36"/>
      <c r="U15" s="36"/>
      <c r="V15" s="36"/>
      <c r="W15" s="38"/>
      <c r="X15" s="36"/>
      <c r="Y15" s="36"/>
      <c r="Z15" s="36"/>
      <c r="AA15" s="36"/>
      <c r="AB15" s="36"/>
      <c r="AC15" s="36"/>
      <c r="AD15" s="36"/>
      <c r="AE15" s="36"/>
      <c r="AF15" s="36"/>
      <c r="AG15" s="36"/>
      <c r="AH15" s="36"/>
      <c r="AI15" s="36"/>
      <c r="AJ15" s="36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/>
      <c r="BC15" s="36"/>
      <c r="BD15" s="36"/>
      <c r="BE15" s="36"/>
      <c r="BF15" s="36"/>
      <c r="BG15" s="36"/>
      <c r="BH15" s="36"/>
      <c r="BI15" s="36"/>
      <c r="BJ15" s="36"/>
      <c r="BK15" s="36"/>
      <c r="BL15" s="36"/>
      <c r="BM15" s="36"/>
      <c r="BN15" s="36"/>
      <c r="BO15" s="36"/>
    </row>
    <row r="16" spans="1:67">
      <c r="A16" s="35"/>
      <c r="B16" s="35"/>
      <c r="C16" s="35"/>
      <c r="D16" s="35"/>
      <c r="E16" s="35"/>
      <c r="F16" s="35"/>
      <c r="G16" s="35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7"/>
      <c r="S16" s="36"/>
      <c r="T16" s="36"/>
      <c r="U16" s="36"/>
      <c r="V16" s="36"/>
      <c r="W16" s="38"/>
      <c r="X16" s="36"/>
      <c r="Y16" s="36"/>
      <c r="Z16" s="36"/>
      <c r="AA16" s="36"/>
      <c r="AB16" s="36"/>
      <c r="AC16" s="36"/>
      <c r="AD16" s="36"/>
      <c r="AE16" s="36"/>
      <c r="AF16" s="36"/>
      <c r="AG16" s="36"/>
      <c r="AH16" s="36"/>
      <c r="AI16" s="36"/>
      <c r="AJ16" s="36"/>
      <c r="AK16" s="36"/>
      <c r="AL16" s="36"/>
      <c r="AM16" s="36"/>
      <c r="AN16" s="36"/>
      <c r="AO16" s="36"/>
      <c r="AP16" s="36"/>
      <c r="AQ16" s="36"/>
      <c r="AR16" s="36"/>
      <c r="AS16" s="36"/>
      <c r="AT16" s="36"/>
      <c r="AU16" s="36"/>
      <c r="AV16" s="36"/>
      <c r="AW16" s="36"/>
      <c r="AX16" s="36"/>
      <c r="AY16" s="36"/>
      <c r="AZ16" s="36"/>
      <c r="BA16" s="36"/>
      <c r="BB16" s="36"/>
      <c r="BC16" s="36"/>
      <c r="BD16" s="36"/>
      <c r="BE16" s="36"/>
      <c r="BF16" s="36"/>
      <c r="BG16" s="36"/>
      <c r="BH16" s="36"/>
      <c r="BI16" s="36"/>
      <c r="BJ16" s="36"/>
      <c r="BK16" s="36"/>
      <c r="BL16" s="36"/>
      <c r="BM16" s="36"/>
      <c r="BN16" s="36"/>
      <c r="BO16" s="36"/>
    </row>
    <row r="17" spans="1:67">
      <c r="A17" s="35"/>
      <c r="B17" s="35"/>
      <c r="C17" s="35"/>
      <c r="D17" s="35"/>
      <c r="E17" s="35"/>
      <c r="F17" s="35"/>
      <c r="G17" s="35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7"/>
      <c r="S17" s="36"/>
      <c r="T17" s="36"/>
      <c r="U17" s="36"/>
      <c r="V17" s="36"/>
      <c r="W17" s="38"/>
      <c r="X17" s="36"/>
      <c r="Y17" s="36"/>
      <c r="Z17" s="36"/>
      <c r="AA17" s="36"/>
      <c r="AB17" s="36"/>
      <c r="AC17" s="36"/>
      <c r="AD17" s="36"/>
      <c r="AE17" s="36"/>
      <c r="AF17" s="36"/>
      <c r="AG17" s="36"/>
      <c r="AH17" s="36"/>
      <c r="AI17" s="36"/>
      <c r="AJ17" s="36"/>
      <c r="AK17" s="36"/>
      <c r="AL17" s="36"/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  <c r="BB17" s="36"/>
      <c r="BC17" s="36"/>
      <c r="BD17" s="36"/>
      <c r="BE17" s="36"/>
      <c r="BF17" s="36"/>
      <c r="BG17" s="36"/>
      <c r="BH17" s="36"/>
      <c r="BI17" s="36"/>
      <c r="BJ17" s="36"/>
      <c r="BK17" s="36"/>
      <c r="BL17" s="36"/>
      <c r="BM17" s="36"/>
      <c r="BN17" s="36"/>
      <c r="BO17" s="36"/>
    </row>
    <row r="18" spans="1:67">
      <c r="A18" s="35"/>
      <c r="B18" s="35"/>
      <c r="C18" s="35"/>
      <c r="D18" s="35"/>
      <c r="E18" s="35"/>
      <c r="F18" s="35"/>
      <c r="G18" s="35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7"/>
      <c r="S18" s="36"/>
      <c r="T18" s="36"/>
      <c r="U18" s="36"/>
      <c r="V18" s="36"/>
      <c r="W18" s="38"/>
      <c r="X18" s="36"/>
      <c r="Y18" s="36"/>
      <c r="Z18" s="36"/>
      <c r="AA18" s="36"/>
      <c r="AB18" s="36"/>
      <c r="AC18" s="36"/>
      <c r="AD18" s="36"/>
      <c r="AE18" s="36"/>
      <c r="AF18" s="36"/>
      <c r="AG18" s="36"/>
      <c r="AH18" s="36"/>
      <c r="AI18" s="36"/>
      <c r="AJ18" s="36"/>
      <c r="AK18" s="36"/>
      <c r="AL18" s="36"/>
      <c r="AM18" s="36"/>
      <c r="AN18" s="36"/>
      <c r="AO18" s="36"/>
      <c r="AP18" s="36"/>
      <c r="AQ18" s="36"/>
      <c r="AR18" s="36"/>
      <c r="AS18" s="36"/>
      <c r="AT18" s="36"/>
      <c r="AU18" s="36"/>
      <c r="AV18" s="36"/>
      <c r="AW18" s="36"/>
      <c r="AX18" s="36"/>
      <c r="AY18" s="36"/>
      <c r="AZ18" s="36"/>
      <c r="BA18" s="36"/>
      <c r="BB18" s="36"/>
      <c r="BC18" s="36"/>
      <c r="BD18" s="36"/>
      <c r="BE18" s="36"/>
      <c r="BF18" s="36"/>
      <c r="BG18" s="36"/>
      <c r="BH18" s="36"/>
      <c r="BI18" s="36"/>
      <c r="BJ18" s="36"/>
      <c r="BK18" s="36"/>
      <c r="BL18" s="36"/>
      <c r="BM18" s="36"/>
      <c r="BN18" s="36"/>
      <c r="BO18" s="36"/>
    </row>
    <row r="19" spans="1:67">
      <c r="A19" s="35"/>
      <c r="B19" s="35"/>
      <c r="C19" s="35"/>
      <c r="D19" s="35"/>
      <c r="E19" s="35"/>
      <c r="F19" s="35"/>
      <c r="G19" s="35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7"/>
      <c r="S19" s="36"/>
      <c r="T19" s="36"/>
      <c r="U19" s="36"/>
      <c r="V19" s="36"/>
      <c r="W19" s="38"/>
      <c r="X19" s="36"/>
      <c r="Y19" s="36"/>
      <c r="Z19" s="36"/>
      <c r="AA19" s="36"/>
      <c r="AB19" s="36"/>
      <c r="AC19" s="36"/>
      <c r="AD19" s="36"/>
      <c r="AE19" s="36"/>
      <c r="AF19" s="36"/>
      <c r="AG19" s="36"/>
      <c r="AH19" s="36"/>
      <c r="AI19" s="36"/>
      <c r="AJ19" s="36"/>
      <c r="AK19" s="36"/>
      <c r="AL19" s="36"/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36"/>
      <c r="BD19" s="36"/>
      <c r="BE19" s="36"/>
      <c r="BF19" s="36"/>
      <c r="BG19" s="36"/>
      <c r="BH19" s="36"/>
      <c r="BI19" s="36"/>
      <c r="BJ19" s="36"/>
      <c r="BK19" s="36"/>
      <c r="BL19" s="36"/>
      <c r="BM19" s="36"/>
      <c r="BN19" s="36"/>
      <c r="BO19" s="36"/>
    </row>
    <row r="20" spans="1:67">
      <c r="A20" s="35"/>
      <c r="B20" s="35"/>
      <c r="C20" s="35"/>
      <c r="D20" s="35"/>
      <c r="E20" s="35"/>
      <c r="F20" s="35"/>
      <c r="G20" s="35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7"/>
      <c r="S20" s="36"/>
      <c r="T20" s="36"/>
      <c r="U20" s="36"/>
      <c r="V20" s="36"/>
      <c r="W20" s="38"/>
      <c r="X20" s="36"/>
      <c r="Y20" s="36"/>
      <c r="Z20" s="36"/>
      <c r="AA20" s="36"/>
      <c r="AB20" s="36"/>
      <c r="AC20" s="36"/>
      <c r="AD20" s="36"/>
      <c r="AE20" s="36"/>
      <c r="AF20" s="36"/>
      <c r="AG20" s="36"/>
      <c r="AH20" s="36"/>
      <c r="AI20" s="36"/>
      <c r="AJ20" s="36"/>
      <c r="AK20" s="36"/>
      <c r="AL20" s="36"/>
      <c r="AM20" s="36"/>
      <c r="AN20" s="36"/>
      <c r="AO20" s="36"/>
      <c r="AP20" s="36"/>
      <c r="AQ20" s="36"/>
      <c r="AR20" s="36"/>
      <c r="AS20" s="36"/>
      <c r="AT20" s="36"/>
      <c r="AU20" s="36"/>
      <c r="AV20" s="36"/>
      <c r="AW20" s="36"/>
      <c r="AX20" s="36"/>
      <c r="AY20" s="36"/>
      <c r="AZ20" s="36"/>
      <c r="BA20" s="36"/>
      <c r="BB20" s="36"/>
      <c r="BC20" s="36"/>
      <c r="BD20" s="36"/>
      <c r="BE20" s="36"/>
      <c r="BF20" s="36"/>
      <c r="BG20" s="36"/>
      <c r="BH20" s="36"/>
      <c r="BI20" s="36"/>
      <c r="BJ20" s="36"/>
      <c r="BK20" s="36"/>
      <c r="BL20" s="36"/>
      <c r="BM20" s="36"/>
      <c r="BN20" s="36"/>
      <c r="BO20" s="36"/>
    </row>
    <row r="21" spans="1:67">
      <c r="A21" s="35"/>
      <c r="B21" s="35"/>
      <c r="C21" s="35"/>
      <c r="D21" s="35"/>
      <c r="E21" s="35"/>
      <c r="F21" s="35"/>
      <c r="G21" s="35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7"/>
      <c r="S21" s="36"/>
      <c r="T21" s="36"/>
      <c r="U21" s="36"/>
      <c r="V21" s="36"/>
      <c r="W21" s="38"/>
      <c r="X21" s="36"/>
      <c r="Y21" s="36"/>
      <c r="Z21" s="36"/>
      <c r="AA21" s="36"/>
      <c r="AB21" s="36"/>
      <c r="AC21" s="36"/>
      <c r="AD21" s="36"/>
      <c r="AE21" s="36"/>
      <c r="AF21" s="36"/>
      <c r="AG21" s="36"/>
      <c r="AH21" s="36"/>
      <c r="AI21" s="36"/>
      <c r="AJ21" s="36"/>
      <c r="AK21" s="36"/>
      <c r="AL21" s="36"/>
      <c r="AM21" s="36"/>
      <c r="AN21" s="36"/>
      <c r="AO21" s="36"/>
      <c r="AP21" s="36"/>
      <c r="AQ21" s="36"/>
      <c r="AR21" s="36"/>
      <c r="AS21" s="36"/>
      <c r="AT21" s="36"/>
      <c r="AU21" s="36"/>
      <c r="AV21" s="36"/>
      <c r="AW21" s="36"/>
      <c r="AX21" s="36"/>
      <c r="AY21" s="36"/>
      <c r="AZ21" s="36"/>
      <c r="BA21" s="36"/>
      <c r="BB21" s="36"/>
      <c r="BC21" s="36"/>
      <c r="BD21" s="36"/>
      <c r="BE21" s="36"/>
      <c r="BF21" s="36"/>
      <c r="BG21" s="36"/>
      <c r="BH21" s="36"/>
      <c r="BI21" s="36"/>
      <c r="BJ21" s="36"/>
      <c r="BK21" s="36"/>
      <c r="BL21" s="36"/>
      <c r="BM21" s="36"/>
      <c r="BN21" s="36"/>
      <c r="BO21" s="36"/>
    </row>
    <row r="22" spans="1:67">
      <c r="A22" s="35"/>
      <c r="B22" s="35"/>
      <c r="C22" s="35"/>
      <c r="D22" s="35"/>
      <c r="E22" s="35"/>
      <c r="F22" s="35"/>
      <c r="G22" s="35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7"/>
      <c r="S22" s="36"/>
      <c r="T22" s="36"/>
      <c r="U22" s="36"/>
      <c r="V22" s="36"/>
      <c r="W22" s="38"/>
      <c r="X22" s="36"/>
      <c r="Y22" s="36"/>
      <c r="Z22" s="36"/>
      <c r="AA22" s="36"/>
      <c r="AB22" s="36"/>
      <c r="AC22" s="36"/>
      <c r="AD22" s="36"/>
      <c r="AE22" s="36"/>
      <c r="AF22" s="36"/>
      <c r="AG22" s="36"/>
      <c r="AH22" s="36"/>
      <c r="AI22" s="36"/>
      <c r="AJ22" s="36"/>
      <c r="AK22" s="36"/>
      <c r="AL22" s="36"/>
      <c r="AM22" s="36"/>
      <c r="AN22" s="36"/>
      <c r="AO22" s="36"/>
      <c r="AP22" s="36"/>
      <c r="AQ22" s="36"/>
      <c r="AR22" s="36"/>
      <c r="AS22" s="36"/>
      <c r="AT22" s="36"/>
      <c r="AU22" s="36"/>
      <c r="AV22" s="36"/>
      <c r="AW22" s="36"/>
      <c r="AX22" s="36"/>
      <c r="AY22" s="36"/>
      <c r="AZ22" s="36"/>
      <c r="BA22" s="36"/>
      <c r="BB22" s="36"/>
      <c r="BC22" s="36"/>
      <c r="BD22" s="36"/>
      <c r="BE22" s="36"/>
      <c r="BF22" s="36"/>
      <c r="BG22" s="36"/>
      <c r="BH22" s="36"/>
      <c r="BI22" s="36"/>
      <c r="BJ22" s="36"/>
      <c r="BK22" s="36"/>
      <c r="BL22" s="36"/>
      <c r="BM22" s="36"/>
      <c r="BN22" s="36"/>
      <c r="BO22" s="36"/>
    </row>
    <row r="23" spans="1:67">
      <c r="A23" s="35"/>
      <c r="B23" s="35"/>
      <c r="C23" s="35"/>
      <c r="D23" s="35"/>
      <c r="E23" s="35"/>
      <c r="F23" s="35"/>
      <c r="G23" s="35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7"/>
      <c r="S23" s="36"/>
      <c r="T23" s="36"/>
      <c r="U23" s="36"/>
      <c r="V23" s="36"/>
      <c r="W23" s="38"/>
      <c r="X23" s="36"/>
      <c r="Y23" s="36"/>
      <c r="Z23" s="36"/>
      <c r="AA23" s="36"/>
      <c r="AB23" s="36"/>
      <c r="AC23" s="36"/>
      <c r="AD23" s="36"/>
      <c r="AE23" s="36"/>
      <c r="AF23" s="36"/>
      <c r="AG23" s="36"/>
      <c r="AH23" s="36"/>
      <c r="AI23" s="36"/>
      <c r="AJ23" s="36"/>
      <c r="AK23" s="36"/>
      <c r="AL23" s="36"/>
      <c r="AM23" s="36"/>
      <c r="AN23" s="36"/>
      <c r="AO23" s="36"/>
      <c r="AP23" s="36"/>
      <c r="AQ23" s="36"/>
      <c r="AR23" s="36"/>
      <c r="AS23" s="36"/>
      <c r="AT23" s="36"/>
      <c r="AU23" s="36"/>
      <c r="AV23" s="36"/>
      <c r="AW23" s="36"/>
      <c r="AX23" s="36"/>
      <c r="AY23" s="36"/>
      <c r="AZ23" s="36"/>
      <c r="BA23" s="36"/>
      <c r="BB23" s="36"/>
      <c r="BC23" s="36"/>
      <c r="BD23" s="36"/>
      <c r="BE23" s="36"/>
      <c r="BF23" s="36"/>
      <c r="BG23" s="36"/>
      <c r="BH23" s="36"/>
      <c r="BI23" s="36"/>
      <c r="BJ23" s="36"/>
      <c r="BK23" s="36"/>
      <c r="BL23" s="36"/>
      <c r="BM23" s="36"/>
      <c r="BN23" s="36"/>
      <c r="BO23" s="36"/>
    </row>
    <row r="24" spans="1:67">
      <c r="A24" s="35"/>
      <c r="B24" s="35"/>
      <c r="C24" s="35"/>
      <c r="D24" s="35"/>
      <c r="E24" s="35"/>
      <c r="F24" s="35"/>
      <c r="G24" s="35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7"/>
      <c r="S24" s="36"/>
      <c r="T24" s="36"/>
      <c r="U24" s="36"/>
      <c r="V24" s="36"/>
      <c r="W24" s="38"/>
      <c r="X24" s="36"/>
      <c r="Y24" s="36"/>
      <c r="Z24" s="36"/>
      <c r="AA24" s="36"/>
      <c r="AB24" s="36"/>
      <c r="AC24" s="36"/>
      <c r="AD24" s="36"/>
      <c r="AE24" s="36"/>
      <c r="AF24" s="36"/>
      <c r="AG24" s="36"/>
      <c r="AH24" s="36"/>
      <c r="AI24" s="36"/>
      <c r="AJ24" s="36"/>
      <c r="AK24" s="36"/>
      <c r="AL24" s="36"/>
      <c r="AM24" s="36"/>
      <c r="AN24" s="36"/>
      <c r="AO24" s="36"/>
      <c r="AP24" s="36"/>
      <c r="AQ24" s="36"/>
      <c r="AR24" s="36"/>
      <c r="AS24" s="36"/>
      <c r="AT24" s="36"/>
      <c r="AU24" s="36"/>
      <c r="AV24" s="36"/>
      <c r="AW24" s="36"/>
      <c r="AX24" s="36"/>
      <c r="AY24" s="36"/>
      <c r="AZ24" s="36"/>
      <c r="BA24" s="36"/>
      <c r="BB24" s="36"/>
      <c r="BC24" s="36"/>
      <c r="BD24" s="36"/>
      <c r="BE24" s="36"/>
      <c r="BF24" s="36"/>
      <c r="BG24" s="36"/>
      <c r="BH24" s="36"/>
      <c r="BI24" s="36"/>
      <c r="BJ24" s="36"/>
      <c r="BK24" s="36"/>
      <c r="BL24" s="36"/>
      <c r="BM24" s="36"/>
      <c r="BN24" s="36"/>
      <c r="BO24" s="36"/>
    </row>
    <row r="25" spans="1:67">
      <c r="A25" s="35"/>
      <c r="B25" s="35"/>
      <c r="C25" s="35"/>
      <c r="D25" s="35"/>
      <c r="E25" s="35"/>
      <c r="F25" s="35"/>
      <c r="G25" s="35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7"/>
      <c r="S25" s="36"/>
      <c r="T25" s="36"/>
      <c r="U25" s="36"/>
      <c r="V25" s="36"/>
      <c r="W25" s="38"/>
      <c r="X25" s="36"/>
      <c r="Y25" s="36"/>
      <c r="Z25" s="36"/>
      <c r="AA25" s="36"/>
      <c r="AB25" s="36"/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  <c r="BN25" s="36"/>
      <c r="BO25" s="36"/>
    </row>
    <row r="26" spans="1:67">
      <c r="A26" s="35"/>
      <c r="B26" s="35"/>
      <c r="C26" s="35"/>
      <c r="D26" s="35"/>
      <c r="E26" s="35"/>
      <c r="F26" s="35"/>
      <c r="G26" s="35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7"/>
      <c r="S26" s="36"/>
      <c r="T26" s="36"/>
      <c r="U26" s="36"/>
      <c r="V26" s="36"/>
      <c r="W26" s="38"/>
      <c r="X26" s="36"/>
      <c r="Y26" s="36"/>
      <c r="Z26" s="36"/>
      <c r="AA26" s="36"/>
      <c r="AB26" s="36"/>
      <c r="AC26" s="36"/>
      <c r="AD26" s="36"/>
      <c r="AE26" s="36"/>
      <c r="AF26" s="36"/>
      <c r="AG26" s="36"/>
      <c r="AH26" s="36"/>
      <c r="AI26" s="36"/>
      <c r="AJ26" s="36"/>
      <c r="AK26" s="36"/>
      <c r="AL26" s="36"/>
      <c r="AM26" s="36"/>
      <c r="AN26" s="36"/>
      <c r="AO26" s="36"/>
      <c r="AP26" s="36"/>
      <c r="AQ26" s="36"/>
      <c r="AR26" s="36"/>
      <c r="AS26" s="36"/>
      <c r="AT26" s="36"/>
      <c r="AU26" s="36"/>
      <c r="AV26" s="36"/>
      <c r="AW26" s="36"/>
      <c r="AX26" s="36"/>
      <c r="AY26" s="36"/>
      <c r="AZ26" s="36"/>
      <c r="BA26" s="36"/>
      <c r="BB26" s="36"/>
      <c r="BC26" s="36"/>
      <c r="BD26" s="36"/>
      <c r="BE26" s="36"/>
      <c r="BF26" s="36"/>
      <c r="BG26" s="36"/>
      <c r="BH26" s="36"/>
      <c r="BI26" s="36"/>
      <c r="BJ26" s="36"/>
      <c r="BK26" s="36"/>
      <c r="BL26" s="36"/>
      <c r="BM26" s="36"/>
      <c r="BN26" s="36"/>
      <c r="BO26" s="36"/>
    </row>
    <row r="27" spans="1:67">
      <c r="A27" s="35"/>
      <c r="B27" s="35"/>
      <c r="C27" s="35"/>
      <c r="D27" s="35"/>
      <c r="E27" s="35"/>
      <c r="F27" s="35"/>
      <c r="G27" s="35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7"/>
      <c r="S27" s="36"/>
      <c r="T27" s="36"/>
      <c r="U27" s="36"/>
      <c r="V27" s="36"/>
      <c r="W27" s="38"/>
      <c r="X27" s="36"/>
      <c r="Y27" s="36"/>
      <c r="Z27" s="36"/>
      <c r="AA27" s="36"/>
      <c r="AB27" s="36"/>
      <c r="AC27" s="36"/>
      <c r="AD27" s="36"/>
      <c r="AE27" s="36"/>
      <c r="AF27" s="36"/>
      <c r="AG27" s="36"/>
      <c r="AH27" s="36"/>
      <c r="AI27" s="36"/>
      <c r="AJ27" s="36"/>
      <c r="AK27" s="36"/>
      <c r="AL27" s="36"/>
      <c r="AM27" s="36"/>
      <c r="AN27" s="36"/>
      <c r="AO27" s="36"/>
      <c r="AP27" s="36"/>
      <c r="AQ27" s="36"/>
      <c r="AR27" s="36"/>
      <c r="AS27" s="36"/>
      <c r="AT27" s="36"/>
      <c r="AU27" s="36"/>
      <c r="AV27" s="36"/>
      <c r="AW27" s="36"/>
      <c r="AX27" s="36"/>
      <c r="AY27" s="36"/>
      <c r="AZ27" s="36"/>
      <c r="BA27" s="36"/>
      <c r="BB27" s="36"/>
      <c r="BC27" s="36"/>
      <c r="BD27" s="36"/>
      <c r="BE27" s="36"/>
      <c r="BF27" s="36"/>
      <c r="BG27" s="36"/>
      <c r="BH27" s="36"/>
      <c r="BI27" s="36"/>
      <c r="BJ27" s="36"/>
      <c r="BK27" s="36"/>
      <c r="BL27" s="36"/>
      <c r="BM27" s="36"/>
      <c r="BN27" s="36"/>
      <c r="BO27" s="36"/>
    </row>
    <row r="28" spans="1:67">
      <c r="A28" s="35"/>
      <c r="B28" s="35"/>
      <c r="C28" s="35"/>
      <c r="D28" s="35"/>
      <c r="E28" s="35"/>
      <c r="F28" s="35"/>
      <c r="G28" s="35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7"/>
      <c r="S28" s="36"/>
      <c r="T28" s="36"/>
      <c r="U28" s="36"/>
      <c r="V28" s="36"/>
      <c r="W28" s="38"/>
      <c r="X28" s="36"/>
      <c r="Y28" s="36"/>
      <c r="Z28" s="36"/>
      <c r="AA28" s="36"/>
      <c r="AB28" s="36"/>
      <c r="AC28" s="36"/>
      <c r="AD28" s="36"/>
      <c r="AE28" s="36"/>
      <c r="AF28" s="36"/>
      <c r="AG28" s="36"/>
      <c r="AH28" s="36"/>
      <c r="AI28" s="36"/>
      <c r="AJ28" s="36"/>
      <c r="AK28" s="36"/>
      <c r="AL28" s="36"/>
      <c r="AM28" s="36"/>
      <c r="AN28" s="36"/>
      <c r="AO28" s="36"/>
      <c r="AP28" s="36"/>
      <c r="AQ28" s="36"/>
      <c r="AR28" s="36"/>
      <c r="AS28" s="36"/>
      <c r="AT28" s="36"/>
      <c r="AU28" s="36"/>
      <c r="AV28" s="36"/>
      <c r="AW28" s="36"/>
      <c r="AX28" s="36"/>
      <c r="AY28" s="36"/>
      <c r="AZ28" s="36"/>
      <c r="BA28" s="36"/>
      <c r="BB28" s="36"/>
      <c r="BC28" s="36"/>
      <c r="BD28" s="36"/>
      <c r="BE28" s="36"/>
      <c r="BF28" s="36"/>
      <c r="BG28" s="36"/>
      <c r="BH28" s="36"/>
      <c r="BI28" s="36"/>
      <c r="BJ28" s="36"/>
      <c r="BK28" s="36"/>
      <c r="BL28" s="36"/>
      <c r="BM28" s="36"/>
      <c r="BN28" s="36"/>
      <c r="BO28" s="36"/>
    </row>
    <row r="29" spans="1:67">
      <c r="A29" s="35"/>
      <c r="B29" s="35"/>
      <c r="C29" s="35"/>
      <c r="D29" s="35"/>
      <c r="E29" s="35"/>
      <c r="F29" s="35"/>
      <c r="G29" s="35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7"/>
      <c r="S29" s="52"/>
      <c r="T29" s="52"/>
      <c r="U29" s="52"/>
      <c r="V29" s="52"/>
      <c r="W29" s="53"/>
      <c r="X29" s="52"/>
      <c r="Y29" s="52"/>
      <c r="Z29" s="52"/>
      <c r="AA29" s="52"/>
      <c r="AB29" s="52"/>
      <c r="AC29" s="36"/>
      <c r="AD29" s="36"/>
      <c r="AE29" s="36"/>
      <c r="AF29" s="36"/>
      <c r="AG29" s="36"/>
      <c r="AH29" s="36"/>
      <c r="AI29" s="36"/>
      <c r="AJ29" s="36"/>
      <c r="AK29" s="36"/>
      <c r="AL29" s="36"/>
      <c r="AM29" s="36"/>
      <c r="AN29" s="36"/>
      <c r="AO29" s="36"/>
      <c r="AP29" s="36"/>
      <c r="AQ29" s="36"/>
      <c r="AR29" s="36"/>
      <c r="AS29" s="36"/>
      <c r="AT29" s="36"/>
      <c r="AU29" s="36"/>
      <c r="AV29" s="36"/>
      <c r="AW29" s="36"/>
      <c r="AX29" s="36"/>
      <c r="AY29" s="36"/>
      <c r="AZ29" s="36"/>
      <c r="BA29" s="36"/>
      <c r="BB29" s="36"/>
      <c r="BC29" s="36"/>
      <c r="BD29" s="36"/>
      <c r="BE29" s="36"/>
      <c r="BF29" s="36"/>
      <c r="BG29" s="36"/>
      <c r="BH29" s="36"/>
      <c r="BI29" s="36"/>
      <c r="BJ29" s="36"/>
      <c r="BK29" s="36"/>
      <c r="BL29" s="36"/>
      <c r="BM29" s="36"/>
      <c r="BN29" s="36"/>
      <c r="BO29" s="36"/>
    </row>
    <row r="30" spans="1:67">
      <c r="A30" s="35"/>
      <c r="B30" s="35"/>
      <c r="C30" s="35"/>
      <c r="D30" s="35"/>
      <c r="E30" s="35"/>
      <c r="F30" s="35"/>
      <c r="G30" s="35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7"/>
      <c r="S30" s="52"/>
      <c r="T30" s="52"/>
      <c r="U30" s="52"/>
      <c r="V30" s="52"/>
      <c r="W30" s="53"/>
      <c r="X30" s="52"/>
      <c r="Y30" s="52"/>
      <c r="Z30" s="52"/>
      <c r="AA30" s="52"/>
      <c r="AB30" s="52"/>
      <c r="AC30" s="36"/>
      <c r="AD30" s="36"/>
      <c r="AE30" s="36"/>
      <c r="AF30" s="36"/>
      <c r="AG30" s="36"/>
      <c r="AH30" s="36"/>
      <c r="AI30" s="36"/>
      <c r="AJ30" s="36"/>
      <c r="AK30" s="36"/>
      <c r="AL30" s="36"/>
      <c r="AM30" s="36"/>
      <c r="AN30" s="36"/>
      <c r="AO30" s="36"/>
      <c r="AP30" s="36"/>
      <c r="AQ30" s="36"/>
      <c r="AR30" s="36"/>
      <c r="AS30" s="36"/>
      <c r="AT30" s="36"/>
      <c r="AU30" s="36"/>
      <c r="AV30" s="36"/>
      <c r="AW30" s="36"/>
      <c r="AX30" s="36"/>
      <c r="AY30" s="36"/>
      <c r="AZ30" s="36"/>
      <c r="BA30" s="36"/>
      <c r="BB30" s="36"/>
      <c r="BC30" s="36"/>
      <c r="BD30" s="36"/>
      <c r="BE30" s="36"/>
      <c r="BF30" s="36"/>
      <c r="BG30" s="36"/>
      <c r="BH30" s="36"/>
      <c r="BI30" s="36"/>
      <c r="BJ30" s="36"/>
      <c r="BK30" s="36"/>
      <c r="BL30" s="36"/>
      <c r="BM30" s="36"/>
      <c r="BN30" s="36"/>
      <c r="BO30" s="36"/>
    </row>
    <row r="31" spans="1:67">
      <c r="A31" s="35"/>
      <c r="B31" s="35"/>
      <c r="C31" s="35"/>
      <c r="D31" s="35"/>
      <c r="E31" s="35"/>
      <c r="F31" s="35"/>
      <c r="G31" s="35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7"/>
      <c r="S31" s="52"/>
      <c r="T31" s="52"/>
      <c r="U31" s="52"/>
      <c r="V31" s="52"/>
      <c r="W31" s="53"/>
      <c r="X31" s="52"/>
      <c r="Y31" s="52"/>
      <c r="Z31" s="52"/>
      <c r="AA31" s="52"/>
      <c r="AB31" s="52"/>
      <c r="AC31" s="36"/>
      <c r="AD31" s="36"/>
      <c r="AE31" s="36"/>
      <c r="AF31" s="36"/>
      <c r="AG31" s="36"/>
      <c r="AH31" s="36"/>
      <c r="AI31" s="36"/>
      <c r="AJ31" s="36"/>
      <c r="AK31" s="36"/>
      <c r="AL31" s="36"/>
      <c r="AM31" s="36"/>
      <c r="AN31" s="36"/>
      <c r="AO31" s="36"/>
      <c r="AP31" s="36"/>
      <c r="AQ31" s="36"/>
      <c r="AR31" s="36"/>
      <c r="AS31" s="36"/>
      <c r="AT31" s="36"/>
      <c r="AU31" s="36"/>
      <c r="AV31" s="36"/>
      <c r="AW31" s="36"/>
      <c r="AX31" s="36"/>
      <c r="AY31" s="36"/>
      <c r="AZ31" s="36"/>
      <c r="BA31" s="36"/>
      <c r="BB31" s="36"/>
      <c r="BC31" s="36"/>
      <c r="BD31" s="36"/>
      <c r="BE31" s="36"/>
      <c r="BF31" s="36"/>
      <c r="BG31" s="36"/>
      <c r="BH31" s="36"/>
      <c r="BI31" s="36"/>
      <c r="BJ31" s="36"/>
      <c r="BK31" s="36"/>
      <c r="BL31" s="36"/>
      <c r="BM31" s="36"/>
      <c r="BN31" s="36"/>
      <c r="BO31" s="36"/>
    </row>
    <row r="32" spans="1:67">
      <c r="A32" s="9"/>
      <c r="B32" s="9"/>
      <c r="C32" s="9"/>
      <c r="D32" s="9"/>
      <c r="E32" s="9"/>
      <c r="F32" s="9"/>
      <c r="G32" s="9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29"/>
      <c r="S32" s="30"/>
      <c r="T32" s="30"/>
      <c r="U32" s="30"/>
      <c r="V32" s="30"/>
      <c r="W32" s="32"/>
      <c r="X32" s="30"/>
      <c r="Y32" s="30"/>
      <c r="Z32" s="30"/>
      <c r="AA32" s="30"/>
      <c r="AB32" s="30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</row>
    <row r="33" spans="1:67">
      <c r="A33" s="9"/>
      <c r="B33" s="9"/>
      <c r="C33" s="9"/>
      <c r="D33" s="9"/>
      <c r="E33" s="9"/>
      <c r="F33" s="9"/>
      <c r="G33" s="9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29"/>
      <c r="S33" s="30"/>
      <c r="T33" s="30"/>
      <c r="U33" s="30"/>
      <c r="V33" s="30"/>
      <c r="W33" s="32"/>
      <c r="X33" s="30"/>
      <c r="Y33" s="30"/>
      <c r="Z33" s="30"/>
      <c r="AA33" s="30"/>
      <c r="AB33" s="30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</row>
    <row r="34" spans="1:67">
      <c r="A34" s="9"/>
      <c r="B34" s="9"/>
      <c r="C34" s="9"/>
      <c r="D34" s="9"/>
      <c r="E34" s="9"/>
      <c r="F34" s="9"/>
      <c r="G34" s="9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29"/>
      <c r="S34" s="30"/>
      <c r="T34" s="30"/>
      <c r="U34" s="30"/>
      <c r="V34" s="30"/>
      <c r="W34" s="32"/>
      <c r="X34" s="30"/>
      <c r="Y34" s="30"/>
      <c r="Z34" s="30"/>
      <c r="AA34" s="30"/>
      <c r="AB34" s="30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</row>
    <row r="35" spans="1:67">
      <c r="A35" s="9"/>
      <c r="B35" s="9"/>
      <c r="C35" s="9"/>
      <c r="D35" s="9"/>
      <c r="E35" s="9"/>
      <c r="F35" s="9"/>
      <c r="G35" s="9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29"/>
      <c r="S35" s="30"/>
      <c r="T35" s="30"/>
      <c r="U35" s="30"/>
      <c r="V35" s="30"/>
      <c r="W35" s="32"/>
      <c r="X35" s="30"/>
      <c r="Y35" s="30"/>
      <c r="Z35" s="30"/>
      <c r="AA35" s="30"/>
      <c r="AB35" s="30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</row>
    <row r="36" spans="1:67">
      <c r="A36" s="9"/>
      <c r="B36" s="9"/>
      <c r="C36" s="9"/>
      <c r="D36" s="9"/>
      <c r="E36" s="9"/>
      <c r="F36" s="9"/>
      <c r="G36" s="9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29"/>
      <c r="S36" s="30"/>
      <c r="T36" s="30"/>
      <c r="U36" s="30"/>
      <c r="V36" s="30"/>
      <c r="W36" s="32"/>
      <c r="X36" s="30"/>
      <c r="Y36" s="30"/>
      <c r="Z36" s="30"/>
      <c r="AA36" s="30"/>
      <c r="AB36" s="30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</row>
    <row r="37" spans="1:67">
      <c r="A37" s="9"/>
      <c r="B37" s="9"/>
      <c r="C37" s="9"/>
      <c r="D37" s="9"/>
      <c r="E37" s="9"/>
      <c r="F37" s="9"/>
      <c r="G37" s="9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29"/>
      <c r="S37" s="30"/>
      <c r="T37" s="30"/>
      <c r="U37" s="30"/>
      <c r="V37" s="30"/>
      <c r="W37" s="32"/>
      <c r="X37" s="30"/>
      <c r="Y37" s="30"/>
      <c r="Z37" s="30"/>
      <c r="AA37" s="30"/>
      <c r="AB37" s="30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</row>
    <row r="38" spans="1:67">
      <c r="A38" s="9"/>
      <c r="B38" s="9"/>
      <c r="C38" s="9"/>
      <c r="D38" s="9"/>
      <c r="E38" s="9"/>
      <c r="F38" s="9"/>
      <c r="G38" s="9"/>
      <c r="H38" s="13"/>
      <c r="I38" s="13"/>
      <c r="J38" s="13"/>
      <c r="K38" s="13"/>
      <c r="L38" s="13"/>
      <c r="M38" s="13"/>
      <c r="N38" s="13"/>
      <c r="O38" s="13"/>
      <c r="P38" s="13"/>
      <c r="Q38" s="31"/>
      <c r="R38" s="22"/>
      <c r="S38" s="23"/>
      <c r="T38" s="23"/>
      <c r="U38" s="23"/>
      <c r="V38" s="23"/>
      <c r="W38" s="32"/>
      <c r="X38" s="30"/>
      <c r="Y38" s="30"/>
      <c r="Z38" s="30"/>
      <c r="AA38" s="30"/>
      <c r="AB38" s="30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</row>
    <row r="39" spans="1:67">
      <c r="A39" s="9"/>
      <c r="B39" s="9"/>
      <c r="C39" s="9"/>
      <c r="D39" s="9"/>
      <c r="E39" s="9"/>
      <c r="F39" s="9"/>
      <c r="G39" s="9"/>
      <c r="H39" s="13"/>
      <c r="I39" s="13"/>
      <c r="J39" s="13"/>
      <c r="K39" s="13"/>
      <c r="L39" s="13"/>
      <c r="M39" s="13"/>
      <c r="N39" s="13"/>
      <c r="O39" s="13"/>
      <c r="P39" s="13"/>
      <c r="Q39" s="31"/>
      <c r="R39" s="22"/>
      <c r="S39" s="23"/>
      <c r="T39" s="23"/>
      <c r="U39" s="23"/>
      <c r="V39" s="23"/>
      <c r="W39" s="32"/>
      <c r="X39" s="30"/>
      <c r="Y39" s="30"/>
      <c r="Z39" s="30"/>
      <c r="AA39" s="30"/>
      <c r="AB39" s="30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</row>
    <row r="40" spans="1:67">
      <c r="A40" s="9"/>
      <c r="B40" s="9"/>
      <c r="C40" s="9"/>
      <c r="D40" s="9"/>
      <c r="E40" s="9"/>
      <c r="F40" s="9"/>
      <c r="G40" s="9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29"/>
      <c r="S40" s="30"/>
      <c r="T40" s="30"/>
      <c r="U40" s="30"/>
      <c r="V40" s="30"/>
      <c r="W40" s="32"/>
      <c r="X40" s="30"/>
      <c r="Y40" s="30"/>
      <c r="Z40" s="30"/>
      <c r="AA40" s="30"/>
      <c r="AB40" s="30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</row>
    <row r="41" spans="1:67">
      <c r="A41" s="9"/>
      <c r="B41" s="9"/>
      <c r="C41" s="9"/>
      <c r="D41" s="9"/>
      <c r="E41" s="9"/>
      <c r="F41" s="9"/>
      <c r="G41" s="9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29"/>
      <c r="S41" s="30"/>
      <c r="T41" s="30"/>
      <c r="U41" s="30"/>
      <c r="V41" s="30"/>
      <c r="W41" s="32"/>
      <c r="X41" s="30"/>
      <c r="Y41" s="30"/>
      <c r="Z41" s="30"/>
      <c r="AA41" s="30"/>
      <c r="AB41" s="30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</row>
    <row r="42" spans="1:67">
      <c r="A42" s="9"/>
      <c r="B42" s="9"/>
      <c r="C42" s="9"/>
      <c r="D42" s="9"/>
      <c r="E42" s="9"/>
      <c r="F42" s="9"/>
      <c r="G42" s="9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29"/>
      <c r="S42" s="30"/>
      <c r="T42" s="30"/>
      <c r="U42" s="30"/>
      <c r="V42" s="30"/>
      <c r="W42" s="32"/>
      <c r="X42" s="30"/>
      <c r="Y42" s="30"/>
      <c r="Z42" s="30"/>
      <c r="AA42" s="30"/>
      <c r="AB42" s="30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</row>
    <row r="43" spans="1:67">
      <c r="A43" s="9"/>
      <c r="B43" s="9"/>
      <c r="C43" s="9"/>
      <c r="D43" s="9"/>
      <c r="E43" s="9"/>
      <c r="F43" s="9"/>
      <c r="G43" s="9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29"/>
      <c r="S43" s="30"/>
      <c r="T43" s="30"/>
      <c r="U43" s="30"/>
      <c r="V43" s="30"/>
      <c r="W43" s="32"/>
      <c r="X43" s="30"/>
      <c r="Y43" s="30"/>
      <c r="Z43" s="30"/>
      <c r="AA43" s="30"/>
      <c r="AB43" s="30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</row>
    <row r="44" spans="1:67">
      <c r="A44" s="9"/>
      <c r="B44" s="9"/>
      <c r="C44" s="9"/>
      <c r="D44" s="9"/>
      <c r="E44" s="9"/>
      <c r="F44" s="9"/>
      <c r="G44" s="9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29"/>
      <c r="S44" s="30"/>
      <c r="T44" s="30"/>
      <c r="U44" s="30"/>
      <c r="V44" s="30"/>
      <c r="W44" s="32"/>
      <c r="X44" s="30"/>
      <c r="Y44" s="30"/>
      <c r="Z44" s="30"/>
      <c r="AA44" s="30"/>
      <c r="AB44" s="30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</row>
    <row r="45" spans="1:67">
      <c r="A45" s="9"/>
      <c r="B45" s="9"/>
      <c r="C45" s="9"/>
      <c r="D45" s="9"/>
      <c r="E45" s="9"/>
      <c r="F45" s="9"/>
      <c r="G45" s="9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29"/>
      <c r="S45" s="30"/>
      <c r="T45" s="30"/>
      <c r="U45" s="30"/>
      <c r="V45" s="30"/>
      <c r="W45" s="32"/>
      <c r="X45" s="30"/>
      <c r="Y45" s="30"/>
      <c r="Z45" s="30"/>
      <c r="AA45" s="30"/>
      <c r="AB45" s="30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</row>
    <row r="46" spans="1:67">
      <c r="A46" s="9"/>
      <c r="B46" s="9"/>
      <c r="C46" s="9"/>
      <c r="D46" s="9"/>
      <c r="E46" s="9"/>
      <c r="F46" s="9"/>
      <c r="G46" s="9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29"/>
      <c r="S46" s="30"/>
      <c r="T46" s="30"/>
      <c r="U46" s="30"/>
      <c r="V46" s="30"/>
      <c r="W46" s="32"/>
      <c r="X46" s="30"/>
      <c r="Y46" s="30"/>
      <c r="Z46" s="30"/>
      <c r="AA46" s="30"/>
      <c r="AB46" s="30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</row>
    <row r="47" spans="1:67">
      <c r="A47" s="9"/>
      <c r="B47" s="9"/>
      <c r="C47" s="9"/>
      <c r="D47" s="9"/>
      <c r="E47" s="9"/>
      <c r="F47" s="9"/>
      <c r="G47" s="9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29"/>
      <c r="S47" s="30"/>
      <c r="T47" s="30"/>
      <c r="U47" s="30"/>
      <c r="V47" s="30"/>
      <c r="W47" s="32"/>
      <c r="X47" s="30"/>
      <c r="Y47" s="30"/>
      <c r="Z47" s="30"/>
      <c r="AA47" s="30"/>
      <c r="AB47" s="30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</row>
    <row r="48" spans="1:67">
      <c r="A48" s="9"/>
      <c r="B48" s="9"/>
      <c r="C48" s="9"/>
      <c r="D48" s="9"/>
      <c r="E48" s="9"/>
      <c r="F48" s="9"/>
      <c r="G48" s="9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29"/>
      <c r="S48" s="30"/>
      <c r="T48" s="30"/>
      <c r="U48" s="30"/>
      <c r="V48" s="30"/>
      <c r="W48" s="32"/>
      <c r="X48" s="30"/>
      <c r="Y48" s="30"/>
      <c r="Z48" s="30"/>
      <c r="AA48" s="30"/>
      <c r="AB48" s="30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</row>
    <row r="49" spans="1:67">
      <c r="A49" s="9"/>
      <c r="B49" s="9"/>
      <c r="C49" s="9"/>
      <c r="D49" s="9"/>
      <c r="E49" s="9"/>
      <c r="F49" s="9"/>
      <c r="G49" s="9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29"/>
      <c r="S49" s="30"/>
      <c r="T49" s="30"/>
      <c r="U49" s="30"/>
      <c r="V49" s="30"/>
      <c r="W49" s="32"/>
      <c r="X49" s="30"/>
      <c r="Y49" s="30"/>
      <c r="Z49" s="30"/>
      <c r="AA49" s="30"/>
      <c r="AB49" s="30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</row>
    <row r="50" spans="1:67">
      <c r="A50" s="9"/>
      <c r="B50" s="9"/>
      <c r="C50" s="9"/>
      <c r="D50" s="9"/>
      <c r="E50" s="9"/>
      <c r="F50" s="9"/>
      <c r="G50" s="9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29"/>
      <c r="S50" s="30"/>
      <c r="T50" s="30"/>
      <c r="U50" s="30"/>
      <c r="V50" s="30"/>
      <c r="W50" s="32"/>
      <c r="X50" s="30"/>
      <c r="Y50" s="30"/>
      <c r="Z50" s="30"/>
      <c r="AA50" s="30"/>
      <c r="AB50" s="30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</row>
    <row r="51" spans="1:67">
      <c r="A51" s="9"/>
      <c r="B51" s="9"/>
      <c r="C51" s="9"/>
      <c r="D51" s="9"/>
      <c r="E51" s="9"/>
      <c r="F51" s="9"/>
      <c r="G51" s="9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29"/>
      <c r="S51" s="30"/>
      <c r="T51" s="30"/>
      <c r="U51" s="30"/>
      <c r="V51" s="30"/>
      <c r="W51" s="32"/>
      <c r="X51" s="30"/>
      <c r="Y51" s="30"/>
      <c r="Z51" s="30"/>
      <c r="AA51" s="30"/>
      <c r="AB51" s="30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</row>
    <row r="52" spans="1:67">
      <c r="A52" s="9"/>
      <c r="B52" s="9"/>
      <c r="C52" s="9"/>
      <c r="D52" s="9"/>
      <c r="E52" s="9"/>
      <c r="F52" s="9"/>
      <c r="G52" s="9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29"/>
      <c r="S52" s="30"/>
      <c r="T52" s="30"/>
      <c r="U52" s="30"/>
      <c r="V52" s="30"/>
      <c r="W52" s="32"/>
      <c r="X52" s="30"/>
      <c r="Y52" s="30"/>
      <c r="Z52" s="30"/>
      <c r="AA52" s="30"/>
      <c r="AB52" s="30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</row>
    <row r="53" spans="1:67">
      <c r="A53" s="9"/>
      <c r="B53" s="9"/>
      <c r="C53" s="9"/>
      <c r="D53" s="9"/>
      <c r="E53" s="9"/>
      <c r="F53" s="9"/>
      <c r="G53" s="9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29"/>
      <c r="S53" s="30"/>
      <c r="T53" s="30"/>
      <c r="U53" s="30"/>
      <c r="V53" s="30"/>
      <c r="W53" s="32"/>
      <c r="X53" s="30"/>
      <c r="Y53" s="30"/>
      <c r="Z53" s="30"/>
      <c r="AA53" s="30"/>
      <c r="AB53" s="30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</row>
    <row r="54" spans="1:67">
      <c r="A54" s="9"/>
      <c r="B54" s="9"/>
      <c r="C54" s="9"/>
      <c r="D54" s="9"/>
      <c r="E54" s="9"/>
      <c r="F54" s="9"/>
      <c r="G54" s="9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29"/>
      <c r="S54" s="30"/>
      <c r="T54" s="30"/>
      <c r="U54" s="30"/>
      <c r="V54" s="30"/>
      <c r="W54" s="32"/>
      <c r="X54" s="30"/>
      <c r="Y54" s="30"/>
      <c r="Z54" s="30"/>
      <c r="AA54" s="30"/>
      <c r="AB54" s="30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  <c r="BO54" s="13"/>
    </row>
    <row r="55" spans="1:67">
      <c r="A55" s="9"/>
      <c r="B55" s="9"/>
      <c r="C55" s="9"/>
      <c r="D55" s="9"/>
      <c r="E55" s="9"/>
      <c r="F55" s="9"/>
      <c r="G55" s="9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29"/>
      <c r="S55" s="30"/>
      <c r="T55" s="30"/>
      <c r="U55" s="30"/>
      <c r="V55" s="30"/>
      <c r="W55" s="32"/>
      <c r="X55" s="30"/>
      <c r="Y55" s="30"/>
      <c r="Z55" s="30"/>
      <c r="AA55" s="30"/>
      <c r="AB55" s="30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  <c r="BF55" s="13"/>
      <c r="BG55" s="13"/>
      <c r="BH55" s="13"/>
      <c r="BI55" s="13"/>
      <c r="BJ55" s="13"/>
      <c r="BK55" s="13"/>
      <c r="BL55" s="13"/>
      <c r="BM55" s="13"/>
      <c r="BN55" s="13"/>
      <c r="BO55" s="13"/>
    </row>
    <row r="56" spans="1:67">
      <c r="A56" s="9"/>
      <c r="B56" s="9"/>
      <c r="C56" s="9"/>
      <c r="D56" s="9"/>
      <c r="E56" s="9"/>
      <c r="F56" s="9"/>
      <c r="G56" s="9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  <c r="BF56" s="13"/>
      <c r="BG56" s="13"/>
      <c r="BH56" s="13"/>
      <c r="BI56" s="13"/>
      <c r="BJ56" s="13"/>
      <c r="BK56" s="13"/>
      <c r="BL56" s="13"/>
      <c r="BM56" s="13"/>
      <c r="BN56" s="13"/>
      <c r="BO56" s="13"/>
    </row>
    <row r="57" spans="1:67">
      <c r="A57" s="9"/>
      <c r="B57" s="9"/>
      <c r="C57" s="9"/>
      <c r="D57" s="9"/>
      <c r="E57" s="9"/>
      <c r="F57" s="9"/>
      <c r="G57" s="9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  <c r="BN57" s="13"/>
      <c r="BO57" s="13"/>
    </row>
    <row r="58" spans="1:67">
      <c r="A58" s="9"/>
      <c r="B58" s="9"/>
      <c r="C58" s="9"/>
      <c r="D58" s="9"/>
      <c r="E58" s="9"/>
      <c r="F58" s="9"/>
      <c r="G58" s="9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  <c r="BN58" s="13"/>
      <c r="BO58" s="13"/>
    </row>
    <row r="59" spans="1:67">
      <c r="A59" s="9"/>
      <c r="B59" s="9"/>
      <c r="C59" s="9"/>
      <c r="D59" s="9"/>
      <c r="E59" s="9"/>
      <c r="F59" s="9"/>
      <c r="G59" s="9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  <c r="BN59" s="13"/>
      <c r="BO59" s="13"/>
    </row>
    <row r="60" spans="1:67">
      <c r="A60" s="9"/>
      <c r="B60" s="9"/>
      <c r="C60" s="9"/>
      <c r="D60" s="9"/>
      <c r="E60" s="9"/>
      <c r="F60" s="9"/>
      <c r="G60" s="9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  <c r="BF60" s="13"/>
      <c r="BG60" s="13"/>
      <c r="BH60" s="13"/>
      <c r="BI60" s="13"/>
      <c r="BJ60" s="13"/>
      <c r="BK60" s="13"/>
      <c r="BL60" s="13"/>
      <c r="BM60" s="13"/>
      <c r="BN60" s="13"/>
      <c r="BO60" s="13"/>
    </row>
    <row r="61" spans="1:67">
      <c r="A61" s="9"/>
      <c r="B61" s="9"/>
      <c r="C61" s="9"/>
      <c r="D61" s="9"/>
      <c r="E61" s="9"/>
      <c r="F61" s="9"/>
      <c r="G61" s="9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  <c r="BN61" s="13"/>
      <c r="BO61" s="13"/>
    </row>
  </sheetData>
  <phoneticPr fontId="49"/>
  <dataValidations disablePrompts="1" count="1">
    <dataValidation showInputMessage="1" showErrorMessage="1" sqref="A1:G1" xr:uid="{DB9845B0-F890-4718-B6C7-40DA9BE9CD3D}"/>
  </dataValidations>
  <pageMargins left="0.7" right="0.7" top="0.75" bottom="0.75" header="0.3" footer="0.3"/>
  <pageSetup paperSize="9" orientation="portrait" r:id="rId1"/>
  <headerFooter>
    <oddHeader>&amp;C&amp;"Calibri"&amp;10&amp;K000000  Confidential 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C5240-1191-4D9D-9E9E-6ABD69EC729B}">
  <sheetPr codeName="Sheet2">
    <tabColor theme="0" tint="-0.499984740745262"/>
  </sheetPr>
  <dimension ref="A1:E8"/>
  <sheetViews>
    <sheetView workbookViewId="0">
      <selection activeCell="H6" sqref="H6"/>
    </sheetView>
  </sheetViews>
  <sheetFormatPr defaultRowHeight="16.5" customHeight="1"/>
  <cols>
    <col min="1" max="1" width="16.42578125" customWidth="1"/>
    <col min="2" max="2" width="16.140625" bestFit="1" customWidth="1"/>
    <col min="3" max="3" width="16.42578125" customWidth="1"/>
    <col min="4" max="4" width="21.5703125" bestFit="1" customWidth="1"/>
    <col min="5" max="5" width="15.28515625" bestFit="1" customWidth="1"/>
  </cols>
  <sheetData>
    <row r="1" spans="1:5" ht="21" customHeight="1" thickTop="1" thickBot="1">
      <c r="A1" s="25" t="s">
        <v>180</v>
      </c>
      <c r="B1" s="25" t="s">
        <v>241</v>
      </c>
      <c r="C1" s="25" t="s">
        <v>181</v>
      </c>
      <c r="D1" s="54" t="s">
        <v>241</v>
      </c>
      <c r="E1" s="58" t="s">
        <v>250</v>
      </c>
    </row>
    <row r="2" spans="1:5" ht="16.5" customHeight="1" thickTop="1" thickBot="1">
      <c r="A2" s="12" t="s">
        <v>1</v>
      </c>
      <c r="B2" s="1" t="s">
        <v>189</v>
      </c>
      <c r="C2" s="12" t="s">
        <v>12</v>
      </c>
      <c r="D2" s="55" t="s">
        <v>190</v>
      </c>
      <c r="E2" s="59">
        <f>'2026-배부율'!$D$10</f>
        <v>0.14168377823408623</v>
      </c>
    </row>
    <row r="3" spans="1:5" ht="16.5" customHeight="1" thickTop="1" thickBot="1">
      <c r="A3" s="12" t="s">
        <v>6</v>
      </c>
      <c r="B3" s="1" t="s">
        <v>191</v>
      </c>
      <c r="C3" s="12" t="s">
        <v>24</v>
      </c>
      <c r="D3" s="55" t="s">
        <v>192</v>
      </c>
      <c r="E3" s="59">
        <f>'2026-배부율'!$D$10</f>
        <v>0.14168377823408623</v>
      </c>
    </row>
    <row r="4" spans="1:5" ht="16.5" customHeight="1" thickTop="1" thickBot="1">
      <c r="A4" s="12" t="s">
        <v>8</v>
      </c>
      <c r="B4" s="1" t="s">
        <v>193</v>
      </c>
      <c r="C4" s="12" t="s">
        <v>34</v>
      </c>
      <c r="D4" s="55" t="s">
        <v>194</v>
      </c>
      <c r="E4" s="59">
        <f>'2026-배부율'!$D$10</f>
        <v>0.14168377823408623</v>
      </c>
    </row>
    <row r="5" spans="1:5" ht="16.5" customHeight="1" thickTop="1" thickBot="1">
      <c r="A5" s="12" t="s">
        <v>9</v>
      </c>
      <c r="B5" s="1" t="s">
        <v>195</v>
      </c>
      <c r="C5" s="12" t="s">
        <v>35</v>
      </c>
      <c r="D5" s="55" t="s">
        <v>196</v>
      </c>
      <c r="E5" s="59">
        <f>'2026-배부율'!$D$10</f>
        <v>0.14168377823408623</v>
      </c>
    </row>
    <row r="6" spans="1:5" ht="16.5" customHeight="1" thickTop="1" thickBot="1">
      <c r="A6" s="12" t="s">
        <v>10</v>
      </c>
      <c r="B6" s="1" t="s">
        <v>197</v>
      </c>
      <c r="C6" s="12" t="s">
        <v>36</v>
      </c>
      <c r="D6" s="55" t="s">
        <v>198</v>
      </c>
      <c r="E6" s="59">
        <f>'2026-배부율'!$D$10</f>
        <v>0.14168377823408623</v>
      </c>
    </row>
    <row r="7" spans="1:5" ht="16.5" customHeight="1" thickTop="1" thickBot="1">
      <c r="A7" s="12" t="s">
        <v>11</v>
      </c>
      <c r="B7" s="1" t="s">
        <v>199</v>
      </c>
      <c r="C7" s="12" t="s">
        <v>37</v>
      </c>
      <c r="D7" s="55" t="s">
        <v>200</v>
      </c>
      <c r="E7" s="59">
        <f>'2026-배부율'!$D$10</f>
        <v>0.14168377823408623</v>
      </c>
    </row>
    <row r="8" spans="1:5" ht="16.5" customHeight="1" thickTop="1"/>
  </sheetData>
  <phoneticPr fontId="4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E22A07-70F1-4E81-92C0-C922B341349E}">
  <sheetPr codeName="Sheet3">
    <tabColor theme="0" tint="-0.499984740745262"/>
  </sheetPr>
  <dimension ref="A1:K23"/>
  <sheetViews>
    <sheetView workbookViewId="0">
      <selection activeCell="G6" sqref="G6"/>
    </sheetView>
  </sheetViews>
  <sheetFormatPr defaultRowHeight="16.5" customHeight="1"/>
  <cols>
    <col min="1" max="1" width="15.140625" style="24" customWidth="1"/>
    <col min="2" max="2" width="24.85546875" style="24" customWidth="1"/>
    <col min="3" max="3" width="8.5703125" style="24" customWidth="1"/>
    <col min="4" max="4" width="15.140625" style="24" customWidth="1"/>
    <col min="5" max="5" width="24.85546875" style="24" customWidth="1"/>
    <col min="9" max="9" width="22.85546875" bestFit="1" customWidth="1"/>
    <col min="10" max="10" width="12.28515625" bestFit="1" customWidth="1"/>
    <col min="11" max="11" width="4.7109375" bestFit="1" customWidth="1"/>
  </cols>
  <sheetData>
    <row r="1" spans="1:11" ht="24.75" customHeight="1" thickTop="1" thickBot="1">
      <c r="A1" s="80" t="s">
        <v>48</v>
      </c>
      <c r="B1" s="78" t="s">
        <v>242</v>
      </c>
      <c r="C1" s="63" t="s">
        <v>243</v>
      </c>
      <c r="D1" s="64" t="s">
        <v>47</v>
      </c>
      <c r="E1" s="79" t="s">
        <v>242</v>
      </c>
    </row>
    <row r="2" spans="1:11" ht="16.5" customHeight="1" thickTop="1" thickBot="1">
      <c r="A2" s="73" t="s">
        <v>246</v>
      </c>
      <c r="B2" s="74" t="s">
        <v>53</v>
      </c>
      <c r="C2" s="75"/>
      <c r="D2" s="76">
        <v>4332150000</v>
      </c>
      <c r="E2" s="77" t="s">
        <v>13</v>
      </c>
      <c r="I2" t="s">
        <v>210</v>
      </c>
      <c r="J2" s="24">
        <v>4201350000</v>
      </c>
      <c r="K2" s="24" t="s">
        <v>211</v>
      </c>
    </row>
    <row r="3" spans="1:11" ht="16.5" customHeight="1" thickTop="1" thickBot="1">
      <c r="A3" s="68" t="s">
        <v>245</v>
      </c>
      <c r="B3" s="66" t="s">
        <v>54</v>
      </c>
      <c r="C3" s="63" t="s">
        <v>61</v>
      </c>
      <c r="D3" s="64">
        <v>4332550100</v>
      </c>
      <c r="E3" s="60" t="s">
        <v>14</v>
      </c>
      <c r="I3" t="s">
        <v>212</v>
      </c>
      <c r="J3" s="24">
        <v>4201410000</v>
      </c>
      <c r="K3" s="24" t="s">
        <v>61</v>
      </c>
    </row>
    <row r="4" spans="1:11" ht="16.5" customHeight="1" thickTop="1" thickBot="1">
      <c r="A4" s="68">
        <v>4202550300</v>
      </c>
      <c r="B4" s="66" t="s">
        <v>55</v>
      </c>
      <c r="C4" s="63" t="s">
        <v>62</v>
      </c>
      <c r="D4" s="64">
        <v>4332550300</v>
      </c>
      <c r="E4" s="60" t="s">
        <v>15</v>
      </c>
      <c r="I4" t="s">
        <v>219</v>
      </c>
      <c r="J4" s="24">
        <v>4201450000</v>
      </c>
      <c r="K4" s="24" t="s">
        <v>220</v>
      </c>
    </row>
    <row r="5" spans="1:11" ht="16.5" customHeight="1" thickTop="1" thickBot="1">
      <c r="A5" s="68">
        <v>4203050000</v>
      </c>
      <c r="B5" s="66" t="s">
        <v>230</v>
      </c>
      <c r="C5" s="63"/>
      <c r="D5" s="64">
        <v>4343050000</v>
      </c>
      <c r="E5" s="60" t="s">
        <v>16</v>
      </c>
      <c r="I5" t="s">
        <v>213</v>
      </c>
      <c r="J5" s="24">
        <v>4201510000</v>
      </c>
      <c r="K5" s="24" t="s">
        <v>214</v>
      </c>
    </row>
    <row r="6" spans="1:11" ht="16.5" customHeight="1" thickTop="1" thickBot="1">
      <c r="A6" s="68">
        <v>4203050030</v>
      </c>
      <c r="B6" s="66" t="s">
        <v>182</v>
      </c>
      <c r="C6" s="63"/>
      <c r="D6" s="65">
        <v>4343050030</v>
      </c>
      <c r="E6" s="60" t="s">
        <v>39</v>
      </c>
      <c r="I6" t="s">
        <v>215</v>
      </c>
      <c r="J6" s="24">
        <v>4201510000</v>
      </c>
      <c r="K6" s="24" t="s">
        <v>216</v>
      </c>
    </row>
    <row r="7" spans="1:11" ht="16.5" customHeight="1" thickTop="1" thickBot="1">
      <c r="A7" s="68" t="s">
        <v>60</v>
      </c>
      <c r="B7" s="66" t="s">
        <v>208</v>
      </c>
      <c r="C7" s="63" t="s">
        <v>207</v>
      </c>
      <c r="D7" s="64" t="s">
        <v>18</v>
      </c>
      <c r="E7" s="60" t="s">
        <v>19</v>
      </c>
      <c r="I7" t="s">
        <v>54</v>
      </c>
      <c r="J7" s="24">
        <v>4202550100</v>
      </c>
      <c r="K7" s="24" t="s">
        <v>61</v>
      </c>
    </row>
    <row r="8" spans="1:11" ht="16.5" customHeight="1" thickTop="1" thickBot="1">
      <c r="A8" s="68" t="s">
        <v>49</v>
      </c>
      <c r="B8" s="66" t="s">
        <v>56</v>
      </c>
      <c r="C8" s="63" t="s">
        <v>63</v>
      </c>
      <c r="D8" s="64" t="s">
        <v>20</v>
      </c>
      <c r="E8" s="60" t="s">
        <v>21</v>
      </c>
      <c r="I8" t="s">
        <v>55</v>
      </c>
      <c r="J8" s="24">
        <v>4202550300</v>
      </c>
      <c r="K8" s="24" t="s">
        <v>62</v>
      </c>
    </row>
    <row r="9" spans="1:11" ht="16.5" customHeight="1" thickTop="1" thickBot="1">
      <c r="A9" s="68" t="s">
        <v>115</v>
      </c>
      <c r="B9" s="66" t="s">
        <v>217</v>
      </c>
      <c r="C9" s="63" t="s">
        <v>218</v>
      </c>
      <c r="D9" s="64" t="s">
        <v>26</v>
      </c>
      <c r="E9" s="60" t="s">
        <v>27</v>
      </c>
      <c r="I9" t="s">
        <v>209</v>
      </c>
      <c r="J9" s="24">
        <v>4202550400</v>
      </c>
      <c r="K9" s="24">
        <v>100</v>
      </c>
    </row>
    <row r="10" spans="1:11" ht="16.5" customHeight="1" thickTop="1" thickBot="1">
      <c r="A10" s="69" t="s">
        <v>5</v>
      </c>
      <c r="B10" s="66" t="s">
        <v>235</v>
      </c>
      <c r="C10" s="63"/>
      <c r="D10" s="64" t="s">
        <v>28</v>
      </c>
      <c r="E10" s="60" t="s">
        <v>29</v>
      </c>
      <c r="I10" t="s">
        <v>59</v>
      </c>
      <c r="J10" s="24">
        <v>4202910000</v>
      </c>
      <c r="K10" s="24">
        <v>100</v>
      </c>
    </row>
    <row r="11" spans="1:11" ht="16.5" customHeight="1" thickTop="1" thickBot="1">
      <c r="A11" s="68">
        <v>4204010000</v>
      </c>
      <c r="B11" s="66" t="s">
        <v>236</v>
      </c>
      <c r="C11" s="63"/>
      <c r="D11" s="64">
        <v>4342910000</v>
      </c>
      <c r="E11" s="60" t="s">
        <v>23</v>
      </c>
      <c r="I11" t="s">
        <v>221</v>
      </c>
      <c r="J11" s="24">
        <v>4203650000</v>
      </c>
      <c r="K11" s="24" t="s">
        <v>222</v>
      </c>
    </row>
    <row r="12" spans="1:11" ht="16.5" customHeight="1" thickTop="1" thickBot="1">
      <c r="A12" s="68">
        <v>4204350000</v>
      </c>
      <c r="B12" s="66" t="s">
        <v>206</v>
      </c>
      <c r="C12" s="63"/>
      <c r="D12" s="64">
        <v>4344350000</v>
      </c>
      <c r="E12" s="60" t="s">
        <v>42</v>
      </c>
      <c r="I12" t="s">
        <v>204</v>
      </c>
      <c r="J12" s="24">
        <v>4203910000</v>
      </c>
      <c r="K12" s="24" t="s">
        <v>203</v>
      </c>
    </row>
    <row r="13" spans="1:11" ht="16.5" customHeight="1" thickTop="1" thickBot="1">
      <c r="A13" s="68">
        <v>4203910000</v>
      </c>
      <c r="B13" s="56" t="s">
        <v>204</v>
      </c>
      <c r="C13" s="63" t="s">
        <v>203</v>
      </c>
      <c r="D13" s="64">
        <v>4343950000</v>
      </c>
      <c r="E13" s="61" t="s">
        <v>41</v>
      </c>
      <c r="I13" t="s">
        <v>223</v>
      </c>
      <c r="J13" s="24">
        <v>4205150000</v>
      </c>
      <c r="K13" s="24" t="s">
        <v>61</v>
      </c>
    </row>
    <row r="14" spans="1:11" ht="16.5" customHeight="1" thickTop="1" thickBot="1">
      <c r="A14" s="69">
        <v>4204450000</v>
      </c>
      <c r="B14" s="66" t="s">
        <v>234</v>
      </c>
      <c r="C14" s="63"/>
      <c r="D14" s="64">
        <v>4344450000</v>
      </c>
      <c r="E14" s="60" t="s">
        <v>43</v>
      </c>
      <c r="I14" t="s">
        <v>224</v>
      </c>
      <c r="J14" s="24" t="s">
        <v>38</v>
      </c>
      <c r="K14" s="24">
        <v>190</v>
      </c>
    </row>
    <row r="15" spans="1:11" ht="16.5" customHeight="1" thickTop="1" thickBot="1">
      <c r="A15" s="68">
        <v>4204750000</v>
      </c>
      <c r="B15" s="66" t="s">
        <v>57</v>
      </c>
      <c r="C15" s="63"/>
      <c r="D15" s="64">
        <v>4334750000</v>
      </c>
      <c r="E15" s="60" t="s">
        <v>22</v>
      </c>
      <c r="I15" t="s">
        <v>208</v>
      </c>
      <c r="J15" s="24" t="s">
        <v>17</v>
      </c>
      <c r="K15" s="24" t="s">
        <v>207</v>
      </c>
    </row>
    <row r="16" spans="1:11" ht="16.5" customHeight="1" thickTop="1" thickBot="1">
      <c r="A16" s="68" t="s">
        <v>50</v>
      </c>
      <c r="B16" s="66" t="s">
        <v>58</v>
      </c>
      <c r="C16" s="63"/>
      <c r="D16" s="64">
        <v>4342910000</v>
      </c>
      <c r="E16" s="60" t="s">
        <v>23</v>
      </c>
      <c r="I16" t="s">
        <v>56</v>
      </c>
      <c r="J16" s="24" t="s">
        <v>4</v>
      </c>
      <c r="K16" s="24" t="s">
        <v>63</v>
      </c>
    </row>
    <row r="17" spans="1:11" ht="16.5" customHeight="1" thickTop="1" thickBot="1">
      <c r="A17" s="68">
        <v>4203450000</v>
      </c>
      <c r="B17" s="66" t="s">
        <v>201</v>
      </c>
      <c r="C17" s="63"/>
      <c r="D17" s="64">
        <v>4394250000</v>
      </c>
      <c r="E17" s="60" t="s">
        <v>40</v>
      </c>
      <c r="I17" t="s">
        <v>217</v>
      </c>
      <c r="J17" s="24" t="s">
        <v>25</v>
      </c>
      <c r="K17" s="24" t="s">
        <v>218</v>
      </c>
    </row>
    <row r="18" spans="1:11" ht="16.5" customHeight="1" thickTop="1" thickBot="1">
      <c r="A18" s="69" t="s">
        <v>51</v>
      </c>
      <c r="B18" s="66" t="s">
        <v>205</v>
      </c>
      <c r="C18" s="63" t="s">
        <v>64</v>
      </c>
      <c r="D18" s="64" t="s">
        <v>44</v>
      </c>
      <c r="E18" s="60" t="s">
        <v>45</v>
      </c>
      <c r="I18" t="s">
        <v>205</v>
      </c>
      <c r="J18" s="24" t="s">
        <v>7</v>
      </c>
      <c r="K18" s="24" t="s">
        <v>64</v>
      </c>
    </row>
    <row r="19" spans="1:11" ht="16.5" customHeight="1" thickTop="1" thickBot="1">
      <c r="A19" s="68">
        <v>4204550000</v>
      </c>
      <c r="B19" s="66" t="s">
        <v>237</v>
      </c>
      <c r="C19" s="63"/>
      <c r="D19" s="64">
        <v>4344550000</v>
      </c>
      <c r="E19" s="60" t="s">
        <v>30</v>
      </c>
    </row>
    <row r="20" spans="1:11" ht="16.5" customHeight="1" thickTop="1" thickBot="1">
      <c r="A20" s="69" t="s">
        <v>52</v>
      </c>
      <c r="B20" s="66" t="s">
        <v>238</v>
      </c>
      <c r="C20" s="63"/>
      <c r="D20" s="64" t="s">
        <v>31</v>
      </c>
      <c r="E20" s="60" t="s">
        <v>32</v>
      </c>
    </row>
    <row r="21" spans="1:11" ht="16.5" customHeight="1" thickTop="1" thickBot="1">
      <c r="A21" s="68">
        <v>4204850000</v>
      </c>
      <c r="B21" s="66" t="s">
        <v>239</v>
      </c>
      <c r="C21" s="63"/>
      <c r="D21" s="64">
        <v>4344850000</v>
      </c>
      <c r="E21" s="60" t="s">
        <v>33</v>
      </c>
    </row>
    <row r="22" spans="1:11" ht="16.5" customHeight="1" thickTop="1" thickBot="1">
      <c r="A22" s="68">
        <v>4205750000</v>
      </c>
      <c r="B22" s="66" t="s">
        <v>240</v>
      </c>
      <c r="C22" s="63"/>
      <c r="D22" s="64">
        <v>4395750000</v>
      </c>
      <c r="E22" s="60" t="s">
        <v>46</v>
      </c>
    </row>
    <row r="23" spans="1:11" ht="16.5" customHeight="1" thickTop="1" thickBot="1">
      <c r="A23" s="70">
        <v>4202910000</v>
      </c>
      <c r="B23" s="67" t="s">
        <v>59</v>
      </c>
      <c r="C23" s="71">
        <v>100</v>
      </c>
      <c r="D23" s="72">
        <v>4342910000</v>
      </c>
      <c r="E23" s="62" t="s">
        <v>23</v>
      </c>
    </row>
  </sheetData>
  <phoneticPr fontId="4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theme="0" tint="-0.499984740745262"/>
  </sheetPr>
  <dimension ref="A1:Q538"/>
  <sheetViews>
    <sheetView workbookViewId="0">
      <selection activeCell="M11" sqref="M11"/>
    </sheetView>
  </sheetViews>
  <sheetFormatPr defaultColWidth="9.140625" defaultRowHeight="16.5"/>
  <cols>
    <col min="1" max="6" width="9.140625" style="2"/>
    <col min="7" max="7" width="9.140625" style="3"/>
    <col min="8" max="8" width="9.140625" style="11" bestFit="1" customWidth="1"/>
    <col min="9" max="9" width="31" style="11" bestFit="1" customWidth="1"/>
    <col min="10" max="10" width="13.42578125" style="11" bestFit="1" customWidth="1"/>
    <col min="11" max="14" width="9.140625" style="2"/>
    <col min="15" max="15" width="29" style="2" bestFit="1" customWidth="1"/>
    <col min="16" max="16" width="12.7109375" style="2" bestFit="1" customWidth="1"/>
    <col min="17" max="17" width="2.85546875" style="2" bestFit="1" customWidth="1"/>
    <col min="18" max="16384" width="9.140625" style="2"/>
  </cols>
  <sheetData>
    <row r="1" spans="1:17">
      <c r="G1" s="10" t="s">
        <v>202</v>
      </c>
      <c r="H1" s="7" t="s">
        <v>86</v>
      </c>
      <c r="I1" s="7" t="s">
        <v>87</v>
      </c>
      <c r="J1" s="7" t="s">
        <v>65</v>
      </c>
      <c r="O1" s="2" t="s">
        <v>87</v>
      </c>
      <c r="P1" s="2" t="s">
        <v>65</v>
      </c>
      <c r="Q1" s="2" t="s">
        <v>233</v>
      </c>
    </row>
    <row r="2" spans="1:17">
      <c r="B2" s="10" t="s">
        <v>225</v>
      </c>
      <c r="G2" s="2">
        <f t="shared" ref="G2:G65" si="0">VLOOKUP(J2,$P$2:$Q$25,2,0)</f>
        <v>1</v>
      </c>
      <c r="H2" s="17">
        <v>2150822</v>
      </c>
      <c r="I2" s="18" t="s">
        <v>105</v>
      </c>
      <c r="J2" s="18" t="s">
        <v>83</v>
      </c>
      <c r="O2" s="19" t="s">
        <v>107</v>
      </c>
      <c r="P2" s="19" t="s">
        <v>84</v>
      </c>
      <c r="Q2" s="19">
        <v>1</v>
      </c>
    </row>
    <row r="3" spans="1:17">
      <c r="B3" s="10" t="s">
        <v>183</v>
      </c>
      <c r="G3" s="2">
        <f t="shared" si="0"/>
        <v>1</v>
      </c>
      <c r="H3" s="17">
        <v>2060965</v>
      </c>
      <c r="I3" s="18" t="s">
        <v>88</v>
      </c>
      <c r="J3" s="18" t="s">
        <v>66</v>
      </c>
      <c r="O3" s="19" t="s">
        <v>91</v>
      </c>
      <c r="P3" s="19" t="s">
        <v>69</v>
      </c>
      <c r="Q3" s="19">
        <v>1</v>
      </c>
    </row>
    <row r="4" spans="1:17">
      <c r="B4" s="10" t="s">
        <v>184</v>
      </c>
      <c r="G4" s="2">
        <f t="shared" si="0"/>
        <v>1</v>
      </c>
      <c r="H4" s="17">
        <v>2181002</v>
      </c>
      <c r="I4" s="18" t="s">
        <v>88</v>
      </c>
      <c r="J4" s="18" t="s">
        <v>66</v>
      </c>
      <c r="O4" s="19" t="s">
        <v>88</v>
      </c>
      <c r="P4" s="19" t="s">
        <v>66</v>
      </c>
      <c r="Q4" s="19">
        <v>1</v>
      </c>
    </row>
    <row r="5" spans="1:17">
      <c r="B5" s="10" t="s">
        <v>185</v>
      </c>
      <c r="G5" s="2">
        <f t="shared" si="0"/>
        <v>1</v>
      </c>
      <c r="H5" s="17">
        <v>2060867</v>
      </c>
      <c r="I5" s="18" t="s">
        <v>88</v>
      </c>
      <c r="J5" s="18" t="s">
        <v>66</v>
      </c>
      <c r="O5" s="19" t="s">
        <v>90</v>
      </c>
      <c r="P5" s="19" t="s">
        <v>68</v>
      </c>
      <c r="Q5" s="19">
        <v>1</v>
      </c>
    </row>
    <row r="6" spans="1:17">
      <c r="B6" s="10" t="s">
        <v>186</v>
      </c>
      <c r="G6" s="2">
        <f t="shared" si="0"/>
        <v>1</v>
      </c>
      <c r="H6" s="17">
        <v>2101202</v>
      </c>
      <c r="I6" s="18" t="s">
        <v>88</v>
      </c>
      <c r="J6" s="18" t="s">
        <v>66</v>
      </c>
      <c r="O6" s="19" t="s">
        <v>227</v>
      </c>
      <c r="P6" s="19" t="s">
        <v>226</v>
      </c>
      <c r="Q6" s="19">
        <v>1</v>
      </c>
    </row>
    <row r="7" spans="1:17">
      <c r="B7" s="10"/>
      <c r="G7" s="2">
        <f t="shared" si="0"/>
        <v>1</v>
      </c>
      <c r="H7" s="17">
        <v>2071109</v>
      </c>
      <c r="I7" s="18" t="s">
        <v>105</v>
      </c>
      <c r="J7" s="18" t="s">
        <v>83</v>
      </c>
      <c r="O7" s="19" t="s">
        <v>187</v>
      </c>
      <c r="P7" s="19" t="s">
        <v>188</v>
      </c>
      <c r="Q7" s="19">
        <v>1</v>
      </c>
    </row>
    <row r="8" spans="1:17" ht="17.25" thickBot="1">
      <c r="B8" s="5"/>
      <c r="C8" s="5"/>
      <c r="D8" s="5" t="s">
        <v>114</v>
      </c>
      <c r="G8" s="2">
        <f t="shared" si="0"/>
        <v>1</v>
      </c>
      <c r="H8" s="17">
        <v>2080503</v>
      </c>
      <c r="I8" s="18" t="s">
        <v>88</v>
      </c>
      <c r="J8" s="18" t="s">
        <v>66</v>
      </c>
      <c r="O8" s="19" t="s">
        <v>93</v>
      </c>
      <c r="P8" s="19" t="s">
        <v>71</v>
      </c>
      <c r="Q8" s="19">
        <v>1</v>
      </c>
    </row>
    <row r="9" spans="1:17" ht="18" thickTop="1" thickBot="1">
      <c r="A9" s="2">
        <v>3</v>
      </c>
      <c r="B9" s="5" t="s">
        <v>113</v>
      </c>
      <c r="C9" s="5">
        <f>COUNTIF(G:G,A9)</f>
        <v>398</v>
      </c>
      <c r="D9" s="57">
        <f>SUM(C9,C11)/C12</f>
        <v>0.85831622176591371</v>
      </c>
      <c r="G9" s="2">
        <f t="shared" si="0"/>
        <v>1</v>
      </c>
      <c r="H9" s="17">
        <v>2130405</v>
      </c>
      <c r="I9" s="18" t="s">
        <v>105</v>
      </c>
      <c r="J9" s="18" t="s">
        <v>83</v>
      </c>
      <c r="O9" s="19" t="s">
        <v>105</v>
      </c>
      <c r="P9" s="19" t="s">
        <v>83</v>
      </c>
      <c r="Q9" s="19">
        <v>1</v>
      </c>
    </row>
    <row r="10" spans="1:17" ht="18" thickTop="1" thickBot="1">
      <c r="A10" s="2">
        <v>1</v>
      </c>
      <c r="B10" s="5" t="s">
        <v>112</v>
      </c>
      <c r="C10" s="5">
        <f>COUNTIF(G:G,A10)</f>
        <v>69</v>
      </c>
      <c r="D10" s="57">
        <f>C10/C12</f>
        <v>0.14168377823408623</v>
      </c>
      <c r="G10" s="2">
        <f t="shared" si="0"/>
        <v>1</v>
      </c>
      <c r="H10" s="17">
        <v>2140206</v>
      </c>
      <c r="I10" s="18" t="s">
        <v>105</v>
      </c>
      <c r="J10" s="18" t="s">
        <v>83</v>
      </c>
      <c r="O10" s="19" t="s">
        <v>94</v>
      </c>
      <c r="P10" s="19" t="s">
        <v>72</v>
      </c>
      <c r="Q10" s="19">
        <v>1</v>
      </c>
    </row>
    <row r="11" spans="1:17" ht="17.25" thickTop="1">
      <c r="A11" s="2">
        <v>2</v>
      </c>
      <c r="B11" s="6" t="s">
        <v>111</v>
      </c>
      <c r="C11" s="6">
        <f>COUNTIF(G:G,A11)</f>
        <v>20</v>
      </c>
      <c r="D11" s="4"/>
      <c r="G11" s="2">
        <f t="shared" si="0"/>
        <v>1</v>
      </c>
      <c r="H11" s="17">
        <v>2110108</v>
      </c>
      <c r="I11" s="18" t="s">
        <v>88</v>
      </c>
      <c r="J11" s="18" t="s">
        <v>66</v>
      </c>
      <c r="O11" s="20" t="s">
        <v>106</v>
      </c>
      <c r="P11" s="20" t="s">
        <v>1</v>
      </c>
      <c r="Q11" s="20">
        <v>2</v>
      </c>
    </row>
    <row r="12" spans="1:17">
      <c r="B12" s="5" t="s">
        <v>110</v>
      </c>
      <c r="C12" s="5">
        <f>COUNTA(I2:I488)</f>
        <v>487</v>
      </c>
      <c r="D12" s="4" t="b">
        <f>C12=J489</f>
        <v>1</v>
      </c>
      <c r="G12" s="2">
        <f t="shared" si="0"/>
        <v>1</v>
      </c>
      <c r="H12" s="17">
        <v>2170211</v>
      </c>
      <c r="I12" s="18" t="s">
        <v>105</v>
      </c>
      <c r="J12" s="18" t="s">
        <v>83</v>
      </c>
      <c r="O12" s="20" t="s">
        <v>109</v>
      </c>
      <c r="P12" s="20" t="s">
        <v>6</v>
      </c>
      <c r="Q12" s="20">
        <v>2</v>
      </c>
    </row>
    <row r="13" spans="1:17">
      <c r="B13" s="5"/>
      <c r="C13" s="5"/>
      <c r="D13" s="4"/>
      <c r="G13" s="2">
        <f t="shared" si="0"/>
        <v>1</v>
      </c>
      <c r="H13" s="17">
        <v>2170208</v>
      </c>
      <c r="I13" s="18" t="s">
        <v>105</v>
      </c>
      <c r="J13" s="18" t="s">
        <v>83</v>
      </c>
      <c r="O13" s="21" t="s">
        <v>98</v>
      </c>
      <c r="P13" s="21" t="s">
        <v>76</v>
      </c>
      <c r="Q13" s="21">
        <v>3</v>
      </c>
    </row>
    <row r="14" spans="1:17">
      <c r="B14" s="5" t="s">
        <v>232</v>
      </c>
      <c r="C14" s="5"/>
      <c r="D14" s="4"/>
      <c r="G14" s="2">
        <f t="shared" si="0"/>
        <v>1</v>
      </c>
      <c r="H14" s="17">
        <v>2100611</v>
      </c>
      <c r="I14" s="18" t="s">
        <v>90</v>
      </c>
      <c r="J14" s="18" t="s">
        <v>68</v>
      </c>
      <c r="O14" s="21" t="s">
        <v>99</v>
      </c>
      <c r="P14" s="21" t="s">
        <v>77</v>
      </c>
      <c r="Q14" s="21">
        <v>3</v>
      </c>
    </row>
    <row r="15" spans="1:17">
      <c r="G15" s="2">
        <f t="shared" si="0"/>
        <v>1</v>
      </c>
      <c r="H15" s="17">
        <v>2080104</v>
      </c>
      <c r="I15" s="18" t="s">
        <v>90</v>
      </c>
      <c r="J15" s="18" t="s">
        <v>68</v>
      </c>
      <c r="O15" s="21" t="s">
        <v>101</v>
      </c>
      <c r="P15" s="21" t="s">
        <v>79</v>
      </c>
      <c r="Q15" s="21">
        <v>3</v>
      </c>
    </row>
    <row r="16" spans="1:17">
      <c r="B16" s="6" t="s">
        <v>228</v>
      </c>
      <c r="G16" s="2">
        <f t="shared" si="0"/>
        <v>1</v>
      </c>
      <c r="H16" s="17">
        <v>2070635</v>
      </c>
      <c r="I16" s="18" t="s">
        <v>91</v>
      </c>
      <c r="J16" s="18" t="s">
        <v>69</v>
      </c>
      <c r="O16" s="21" t="s">
        <v>100</v>
      </c>
      <c r="P16" s="21" t="s">
        <v>78</v>
      </c>
      <c r="Q16" s="21">
        <v>3</v>
      </c>
    </row>
    <row r="17" spans="7:17">
      <c r="G17" s="2">
        <f t="shared" si="0"/>
        <v>1</v>
      </c>
      <c r="H17" s="17">
        <v>2070860</v>
      </c>
      <c r="I17" s="18" t="s">
        <v>91</v>
      </c>
      <c r="J17" s="18" t="s">
        <v>69</v>
      </c>
      <c r="O17" s="21" t="s">
        <v>97</v>
      </c>
      <c r="P17" s="21" t="s">
        <v>75</v>
      </c>
      <c r="Q17" s="21">
        <v>3</v>
      </c>
    </row>
    <row r="18" spans="7:17">
      <c r="G18" s="2">
        <f t="shared" si="0"/>
        <v>1</v>
      </c>
      <c r="H18" s="17">
        <v>2251102</v>
      </c>
      <c r="I18" s="18" t="s">
        <v>91</v>
      </c>
      <c r="J18" s="18" t="s">
        <v>69</v>
      </c>
      <c r="O18" s="21" t="s">
        <v>102</v>
      </c>
      <c r="P18" s="21" t="s">
        <v>80</v>
      </c>
      <c r="Q18" s="21">
        <v>3</v>
      </c>
    </row>
    <row r="19" spans="7:17">
      <c r="G19" s="2">
        <f t="shared" si="0"/>
        <v>1</v>
      </c>
      <c r="H19" s="17">
        <v>2100204</v>
      </c>
      <c r="I19" s="18" t="s">
        <v>91</v>
      </c>
      <c r="J19" s="18" t="s">
        <v>69</v>
      </c>
      <c r="O19" s="21" t="s">
        <v>104</v>
      </c>
      <c r="P19" s="21" t="s">
        <v>82</v>
      </c>
      <c r="Q19" s="21">
        <v>3</v>
      </c>
    </row>
    <row r="20" spans="7:17">
      <c r="G20" s="2">
        <f t="shared" si="0"/>
        <v>1</v>
      </c>
      <c r="H20" s="17">
        <v>2070204</v>
      </c>
      <c r="I20" s="18" t="s">
        <v>91</v>
      </c>
      <c r="J20" s="18" t="s">
        <v>69</v>
      </c>
      <c r="O20" s="21" t="s">
        <v>103</v>
      </c>
      <c r="P20" s="21" t="s">
        <v>81</v>
      </c>
      <c r="Q20" s="21">
        <v>3</v>
      </c>
    </row>
    <row r="21" spans="7:17">
      <c r="G21" s="2">
        <f t="shared" si="0"/>
        <v>1</v>
      </c>
      <c r="H21" s="17">
        <v>2050502</v>
      </c>
      <c r="I21" s="18" t="s">
        <v>91</v>
      </c>
      <c r="J21" s="18" t="s">
        <v>69</v>
      </c>
      <c r="O21" s="21" t="s">
        <v>92</v>
      </c>
      <c r="P21" s="21" t="s">
        <v>70</v>
      </c>
      <c r="Q21" s="21">
        <v>3</v>
      </c>
    </row>
    <row r="22" spans="7:17">
      <c r="G22" s="2">
        <f t="shared" si="0"/>
        <v>1</v>
      </c>
      <c r="H22" s="17">
        <v>2050405</v>
      </c>
      <c r="I22" s="18" t="s">
        <v>91</v>
      </c>
      <c r="J22" s="18" t="s">
        <v>69</v>
      </c>
      <c r="O22" s="21" t="s">
        <v>89</v>
      </c>
      <c r="P22" s="21" t="s">
        <v>67</v>
      </c>
      <c r="Q22" s="21">
        <v>3</v>
      </c>
    </row>
    <row r="23" spans="7:17">
      <c r="G23" s="2">
        <f t="shared" si="0"/>
        <v>1</v>
      </c>
      <c r="H23" s="17">
        <v>2080505</v>
      </c>
      <c r="I23" s="18" t="s">
        <v>91</v>
      </c>
      <c r="J23" s="18" t="s">
        <v>69</v>
      </c>
      <c r="O23" s="21" t="s">
        <v>108</v>
      </c>
      <c r="P23" s="21" t="s">
        <v>85</v>
      </c>
      <c r="Q23" s="21">
        <v>3</v>
      </c>
    </row>
    <row r="24" spans="7:17">
      <c r="G24" s="2">
        <f t="shared" si="0"/>
        <v>1</v>
      </c>
      <c r="H24" s="17">
        <v>2170209</v>
      </c>
      <c r="I24" s="18" t="s">
        <v>91</v>
      </c>
      <c r="J24" s="18" t="s">
        <v>69</v>
      </c>
      <c r="O24" s="21" t="s">
        <v>95</v>
      </c>
      <c r="P24" s="21" t="s">
        <v>73</v>
      </c>
      <c r="Q24" s="21">
        <v>3</v>
      </c>
    </row>
    <row r="25" spans="7:17">
      <c r="G25" s="2">
        <f t="shared" si="0"/>
        <v>1</v>
      </c>
      <c r="H25" s="17">
        <v>2070645</v>
      </c>
      <c r="I25" s="18" t="s">
        <v>187</v>
      </c>
      <c r="J25" s="18" t="s">
        <v>188</v>
      </c>
      <c r="O25" s="21" t="s">
        <v>96</v>
      </c>
      <c r="P25" s="21" t="s">
        <v>74</v>
      </c>
      <c r="Q25" s="21">
        <v>3</v>
      </c>
    </row>
    <row r="26" spans="7:17">
      <c r="G26" s="2">
        <f t="shared" si="0"/>
        <v>1</v>
      </c>
      <c r="H26" s="17">
        <v>2070821</v>
      </c>
      <c r="I26" s="18" t="s">
        <v>93</v>
      </c>
      <c r="J26" s="18" t="s">
        <v>71</v>
      </c>
      <c r="O26"/>
      <c r="P26"/>
      <c r="Q26"/>
    </row>
    <row r="27" spans="7:17">
      <c r="G27" s="2">
        <f t="shared" si="0"/>
        <v>1</v>
      </c>
      <c r="H27" s="17">
        <v>2061017</v>
      </c>
      <c r="I27" s="18" t="s">
        <v>93</v>
      </c>
      <c r="J27" s="18" t="s">
        <v>71</v>
      </c>
      <c r="O27"/>
      <c r="P27"/>
      <c r="Q27"/>
    </row>
    <row r="28" spans="7:17">
      <c r="G28" s="2">
        <f t="shared" si="0"/>
        <v>1</v>
      </c>
      <c r="H28" s="17">
        <v>2060944</v>
      </c>
      <c r="I28" s="18" t="s">
        <v>93</v>
      </c>
      <c r="J28" s="18" t="s">
        <v>71</v>
      </c>
      <c r="O28"/>
      <c r="P28"/>
      <c r="Q28"/>
    </row>
    <row r="29" spans="7:17">
      <c r="G29" s="2">
        <f t="shared" si="0"/>
        <v>1</v>
      </c>
      <c r="H29" s="17">
        <v>2070522</v>
      </c>
      <c r="I29" s="18" t="s">
        <v>93</v>
      </c>
      <c r="J29" s="18" t="s">
        <v>71</v>
      </c>
      <c r="O29"/>
      <c r="P29"/>
      <c r="Q29"/>
    </row>
    <row r="30" spans="7:17">
      <c r="G30" s="2">
        <f t="shared" si="0"/>
        <v>1</v>
      </c>
      <c r="H30" s="17">
        <v>2150803</v>
      </c>
      <c r="I30" s="18" t="s">
        <v>93</v>
      </c>
      <c r="J30" s="18" t="s">
        <v>71</v>
      </c>
      <c r="O30"/>
      <c r="P30"/>
      <c r="Q30"/>
    </row>
    <row r="31" spans="7:17">
      <c r="G31" s="2">
        <f t="shared" si="0"/>
        <v>1</v>
      </c>
      <c r="H31" s="17">
        <v>2070846</v>
      </c>
      <c r="I31" s="18" t="s">
        <v>93</v>
      </c>
      <c r="J31" s="18" t="s">
        <v>71</v>
      </c>
      <c r="O31"/>
      <c r="P31"/>
      <c r="Q31"/>
    </row>
    <row r="32" spans="7:17">
      <c r="G32" s="2">
        <f t="shared" si="0"/>
        <v>1</v>
      </c>
      <c r="H32" s="17">
        <v>2150744</v>
      </c>
      <c r="I32" s="18" t="s">
        <v>93</v>
      </c>
      <c r="J32" s="18" t="s">
        <v>71</v>
      </c>
      <c r="O32"/>
      <c r="P32"/>
      <c r="Q32"/>
    </row>
    <row r="33" spans="7:17">
      <c r="G33" s="2">
        <f t="shared" si="0"/>
        <v>1</v>
      </c>
      <c r="H33" s="17">
        <v>2070631</v>
      </c>
      <c r="I33" s="18" t="s">
        <v>93</v>
      </c>
      <c r="J33" s="18" t="s">
        <v>71</v>
      </c>
      <c r="O33"/>
      <c r="P33"/>
      <c r="Q33"/>
    </row>
    <row r="34" spans="7:17">
      <c r="G34" s="2">
        <f t="shared" si="0"/>
        <v>1</v>
      </c>
      <c r="H34" s="17">
        <v>2070116</v>
      </c>
      <c r="I34" s="18" t="s">
        <v>93</v>
      </c>
      <c r="J34" s="18" t="s">
        <v>71</v>
      </c>
      <c r="O34"/>
      <c r="P34"/>
      <c r="Q34"/>
    </row>
    <row r="35" spans="7:17">
      <c r="G35" s="2">
        <f t="shared" si="0"/>
        <v>1</v>
      </c>
      <c r="H35" s="17">
        <v>2080519</v>
      </c>
      <c r="I35" s="18" t="s">
        <v>93</v>
      </c>
      <c r="J35" s="18" t="s">
        <v>71</v>
      </c>
      <c r="O35"/>
      <c r="P35"/>
      <c r="Q35"/>
    </row>
    <row r="36" spans="7:17">
      <c r="G36" s="2">
        <f t="shared" si="0"/>
        <v>1</v>
      </c>
      <c r="H36" s="17">
        <v>2061219</v>
      </c>
      <c r="I36" s="18" t="s">
        <v>93</v>
      </c>
      <c r="J36" s="18" t="s">
        <v>71</v>
      </c>
      <c r="O36"/>
      <c r="P36"/>
      <c r="Q36"/>
    </row>
    <row r="37" spans="7:17">
      <c r="G37" s="2">
        <f t="shared" si="0"/>
        <v>1</v>
      </c>
      <c r="H37" s="17">
        <v>2070820</v>
      </c>
      <c r="I37" s="18" t="s">
        <v>93</v>
      </c>
      <c r="J37" s="18" t="s">
        <v>71</v>
      </c>
      <c r="O37"/>
      <c r="P37"/>
      <c r="Q37"/>
    </row>
    <row r="38" spans="7:17">
      <c r="G38" s="2">
        <f t="shared" si="0"/>
        <v>1</v>
      </c>
      <c r="H38" s="17">
        <v>2070852</v>
      </c>
      <c r="I38" s="18" t="s">
        <v>93</v>
      </c>
      <c r="J38" s="18" t="s">
        <v>71</v>
      </c>
      <c r="O38"/>
      <c r="P38"/>
      <c r="Q38"/>
    </row>
    <row r="39" spans="7:17">
      <c r="G39" s="2">
        <f t="shared" si="0"/>
        <v>1</v>
      </c>
      <c r="H39" s="17">
        <v>2070642</v>
      </c>
      <c r="I39" s="18" t="s">
        <v>93</v>
      </c>
      <c r="J39" s="18" t="s">
        <v>71</v>
      </c>
      <c r="O39"/>
      <c r="P39"/>
      <c r="Q39"/>
    </row>
    <row r="40" spans="7:17">
      <c r="G40" s="2">
        <f t="shared" si="0"/>
        <v>1</v>
      </c>
      <c r="H40" s="17">
        <v>2060929</v>
      </c>
      <c r="I40" s="18" t="s">
        <v>93</v>
      </c>
      <c r="J40" s="18" t="s">
        <v>71</v>
      </c>
      <c r="O40"/>
      <c r="P40"/>
      <c r="Q40"/>
    </row>
    <row r="41" spans="7:17">
      <c r="G41" s="2">
        <f t="shared" si="0"/>
        <v>1</v>
      </c>
      <c r="H41" s="17">
        <v>2070520</v>
      </c>
      <c r="I41" s="18" t="s">
        <v>93</v>
      </c>
      <c r="J41" s="18" t="s">
        <v>71</v>
      </c>
      <c r="O41"/>
      <c r="P41"/>
      <c r="Q41"/>
    </row>
    <row r="42" spans="7:17">
      <c r="G42" s="2">
        <f t="shared" si="0"/>
        <v>1</v>
      </c>
      <c r="H42" s="17">
        <v>2050587</v>
      </c>
      <c r="I42" s="18" t="s">
        <v>93</v>
      </c>
      <c r="J42" s="18" t="s">
        <v>71</v>
      </c>
      <c r="O42"/>
      <c r="P42"/>
      <c r="Q42"/>
    </row>
    <row r="43" spans="7:17">
      <c r="G43" s="2">
        <f t="shared" si="0"/>
        <v>1</v>
      </c>
      <c r="H43" s="17">
        <v>2150708</v>
      </c>
      <c r="I43" s="18" t="s">
        <v>93</v>
      </c>
      <c r="J43" s="18" t="s">
        <v>71</v>
      </c>
      <c r="O43"/>
      <c r="P43"/>
      <c r="Q43"/>
    </row>
    <row r="44" spans="7:17">
      <c r="G44" s="2">
        <f t="shared" si="0"/>
        <v>1</v>
      </c>
      <c r="H44" s="17">
        <v>2050531</v>
      </c>
      <c r="I44" s="18" t="s">
        <v>93</v>
      </c>
      <c r="J44" s="18" t="s">
        <v>71</v>
      </c>
      <c r="O44"/>
      <c r="P44"/>
      <c r="Q44"/>
    </row>
    <row r="45" spans="7:17">
      <c r="G45" s="2">
        <f t="shared" si="0"/>
        <v>1</v>
      </c>
      <c r="H45" s="17">
        <v>2070851</v>
      </c>
      <c r="I45" s="18" t="s">
        <v>93</v>
      </c>
      <c r="J45" s="18" t="s">
        <v>71</v>
      </c>
      <c r="O45"/>
      <c r="P45"/>
      <c r="Q45"/>
    </row>
    <row r="46" spans="7:17">
      <c r="G46" s="2">
        <f t="shared" si="0"/>
        <v>1</v>
      </c>
      <c r="H46" s="17">
        <v>2050546</v>
      </c>
      <c r="I46" s="18" t="s">
        <v>93</v>
      </c>
      <c r="J46" s="18" t="s">
        <v>71</v>
      </c>
      <c r="O46"/>
      <c r="P46"/>
      <c r="Q46"/>
    </row>
    <row r="47" spans="7:17">
      <c r="G47" s="2">
        <f t="shared" si="0"/>
        <v>1</v>
      </c>
      <c r="H47" s="17">
        <v>2150811</v>
      </c>
      <c r="I47" s="18" t="s">
        <v>93</v>
      </c>
      <c r="J47" s="18" t="s">
        <v>71</v>
      </c>
      <c r="O47"/>
      <c r="P47"/>
      <c r="Q47"/>
    </row>
    <row r="48" spans="7:17">
      <c r="G48" s="2">
        <f t="shared" si="0"/>
        <v>1</v>
      </c>
      <c r="H48" s="17">
        <v>2101214</v>
      </c>
      <c r="I48" s="18" t="s">
        <v>93</v>
      </c>
      <c r="J48" s="18" t="s">
        <v>71</v>
      </c>
      <c r="O48"/>
      <c r="P48"/>
      <c r="Q48"/>
    </row>
    <row r="49" spans="7:17">
      <c r="G49" s="2">
        <f t="shared" si="0"/>
        <v>1</v>
      </c>
      <c r="H49" s="17">
        <v>2080909</v>
      </c>
      <c r="I49" s="18" t="s">
        <v>93</v>
      </c>
      <c r="J49" s="18" t="s">
        <v>71</v>
      </c>
      <c r="O49"/>
      <c r="P49"/>
      <c r="Q49"/>
    </row>
    <row r="50" spans="7:17">
      <c r="G50" s="2">
        <f t="shared" si="0"/>
        <v>1</v>
      </c>
      <c r="H50" s="17">
        <v>2221103</v>
      </c>
      <c r="I50" s="18" t="s">
        <v>93</v>
      </c>
      <c r="J50" s="18" t="s">
        <v>71</v>
      </c>
      <c r="O50"/>
      <c r="P50"/>
      <c r="Q50"/>
    </row>
    <row r="51" spans="7:17">
      <c r="G51" s="2">
        <f t="shared" si="0"/>
        <v>1</v>
      </c>
      <c r="H51" s="17">
        <v>2150826</v>
      </c>
      <c r="I51" s="18" t="s">
        <v>93</v>
      </c>
      <c r="J51" s="18" t="s">
        <v>71</v>
      </c>
      <c r="O51"/>
      <c r="P51"/>
      <c r="Q51"/>
    </row>
    <row r="52" spans="7:17">
      <c r="G52" s="2">
        <f t="shared" si="0"/>
        <v>1</v>
      </c>
      <c r="H52" s="17">
        <v>2050204</v>
      </c>
      <c r="I52" s="18" t="s">
        <v>93</v>
      </c>
      <c r="J52" s="18" t="s">
        <v>71</v>
      </c>
      <c r="O52"/>
      <c r="P52"/>
      <c r="Q52"/>
    </row>
    <row r="53" spans="7:17">
      <c r="G53" s="2">
        <f t="shared" si="0"/>
        <v>1</v>
      </c>
      <c r="H53" s="17">
        <v>2041101</v>
      </c>
      <c r="I53" s="18" t="s">
        <v>94</v>
      </c>
      <c r="J53" s="18" t="s">
        <v>72</v>
      </c>
      <c r="O53"/>
      <c r="P53"/>
      <c r="Q53"/>
    </row>
    <row r="54" spans="7:17">
      <c r="G54" s="2">
        <f t="shared" si="0"/>
        <v>1</v>
      </c>
      <c r="H54" s="17">
        <v>2251003</v>
      </c>
      <c r="I54" s="18" t="s">
        <v>94</v>
      </c>
      <c r="J54" s="18" t="s">
        <v>72</v>
      </c>
      <c r="O54"/>
      <c r="P54"/>
      <c r="Q54"/>
    </row>
    <row r="55" spans="7:17">
      <c r="G55" s="2">
        <f t="shared" si="0"/>
        <v>1</v>
      </c>
      <c r="H55" s="17">
        <v>2120604</v>
      </c>
      <c r="I55" s="18" t="s">
        <v>107</v>
      </c>
      <c r="J55" s="18" t="s">
        <v>84</v>
      </c>
      <c r="O55"/>
      <c r="P55"/>
      <c r="Q55"/>
    </row>
    <row r="56" spans="7:17">
      <c r="G56" s="2">
        <f t="shared" si="0"/>
        <v>1</v>
      </c>
      <c r="H56" s="17">
        <v>2150714</v>
      </c>
      <c r="I56" s="18" t="s">
        <v>227</v>
      </c>
      <c r="J56" s="18" t="s">
        <v>226</v>
      </c>
      <c r="O56"/>
      <c r="P56"/>
      <c r="Q56"/>
    </row>
    <row r="57" spans="7:17">
      <c r="G57" s="2">
        <f t="shared" si="0"/>
        <v>1</v>
      </c>
      <c r="H57" s="17">
        <v>2070807</v>
      </c>
      <c r="I57" s="18" t="s">
        <v>227</v>
      </c>
      <c r="J57" s="18" t="s">
        <v>226</v>
      </c>
      <c r="O57"/>
      <c r="P57"/>
      <c r="Q57"/>
    </row>
    <row r="58" spans="7:17">
      <c r="G58" s="2">
        <f t="shared" si="0"/>
        <v>1</v>
      </c>
      <c r="H58" s="17">
        <v>2050528</v>
      </c>
      <c r="I58" s="18" t="s">
        <v>107</v>
      </c>
      <c r="J58" s="18" t="s">
        <v>84</v>
      </c>
      <c r="O58"/>
      <c r="P58"/>
      <c r="Q58"/>
    </row>
    <row r="59" spans="7:17">
      <c r="G59" s="2">
        <f t="shared" si="0"/>
        <v>1</v>
      </c>
      <c r="H59" s="17">
        <v>2150717</v>
      </c>
      <c r="I59" s="18" t="s">
        <v>107</v>
      </c>
      <c r="J59" s="18" t="s">
        <v>84</v>
      </c>
      <c r="O59"/>
      <c r="P59"/>
      <c r="Q59"/>
    </row>
    <row r="60" spans="7:17">
      <c r="G60" s="2">
        <f t="shared" si="0"/>
        <v>1</v>
      </c>
      <c r="H60" s="17">
        <v>2080823</v>
      </c>
      <c r="I60" s="18" t="s">
        <v>107</v>
      </c>
      <c r="J60" s="18" t="s">
        <v>84</v>
      </c>
      <c r="O60"/>
      <c r="P60"/>
      <c r="Q60"/>
    </row>
    <row r="61" spans="7:17">
      <c r="G61" s="2">
        <f t="shared" si="0"/>
        <v>1</v>
      </c>
      <c r="H61" s="17">
        <v>2080833</v>
      </c>
      <c r="I61" s="18" t="s">
        <v>107</v>
      </c>
      <c r="J61" s="18" t="s">
        <v>84</v>
      </c>
      <c r="O61"/>
      <c r="P61"/>
      <c r="Q61"/>
    </row>
    <row r="62" spans="7:17">
      <c r="G62" s="2">
        <f t="shared" si="0"/>
        <v>1</v>
      </c>
      <c r="H62" s="17">
        <v>2050582</v>
      </c>
      <c r="I62" s="18" t="s">
        <v>107</v>
      </c>
      <c r="J62" s="18" t="s">
        <v>84</v>
      </c>
      <c r="O62"/>
      <c r="P62"/>
      <c r="Q62"/>
    </row>
    <row r="63" spans="7:17">
      <c r="G63" s="2">
        <f t="shared" si="0"/>
        <v>1</v>
      </c>
      <c r="H63" s="17">
        <v>2170213</v>
      </c>
      <c r="I63" s="18" t="s">
        <v>107</v>
      </c>
      <c r="J63" s="18" t="s">
        <v>84</v>
      </c>
      <c r="O63"/>
      <c r="P63"/>
      <c r="Q63"/>
    </row>
    <row r="64" spans="7:17">
      <c r="G64" s="2">
        <f t="shared" si="0"/>
        <v>1</v>
      </c>
      <c r="H64" s="17">
        <v>2050406</v>
      </c>
      <c r="I64" s="18" t="s">
        <v>107</v>
      </c>
      <c r="J64" s="18" t="s">
        <v>84</v>
      </c>
      <c r="O64"/>
      <c r="P64"/>
      <c r="Q64"/>
    </row>
    <row r="65" spans="7:17">
      <c r="G65" s="2">
        <f t="shared" si="0"/>
        <v>1</v>
      </c>
      <c r="H65" s="17">
        <v>2050217</v>
      </c>
      <c r="I65" s="18" t="s">
        <v>107</v>
      </c>
      <c r="J65" s="18" t="s">
        <v>84</v>
      </c>
      <c r="O65"/>
      <c r="P65"/>
      <c r="Q65"/>
    </row>
    <row r="66" spans="7:17">
      <c r="G66" s="2">
        <f t="shared" ref="G66:G129" si="1">VLOOKUP(J66,$P$2:$Q$25,2,0)</f>
        <v>1</v>
      </c>
      <c r="H66" s="17">
        <v>2080206</v>
      </c>
      <c r="I66" s="18" t="s">
        <v>107</v>
      </c>
      <c r="J66" s="18" t="s">
        <v>84</v>
      </c>
      <c r="O66"/>
      <c r="P66"/>
      <c r="Q66"/>
    </row>
    <row r="67" spans="7:17">
      <c r="G67" s="2">
        <f t="shared" si="1"/>
        <v>1</v>
      </c>
      <c r="H67" s="17">
        <v>2060875</v>
      </c>
      <c r="I67" s="18" t="s">
        <v>107</v>
      </c>
      <c r="J67" s="18" t="s">
        <v>84</v>
      </c>
      <c r="O67"/>
      <c r="P67"/>
      <c r="Q67"/>
    </row>
    <row r="68" spans="7:17">
      <c r="G68" s="2">
        <f t="shared" si="1"/>
        <v>1</v>
      </c>
      <c r="H68" s="17">
        <v>2140701</v>
      </c>
      <c r="I68" s="18" t="s">
        <v>107</v>
      </c>
      <c r="J68" s="18" t="s">
        <v>84</v>
      </c>
      <c r="O68"/>
      <c r="P68"/>
      <c r="Q68"/>
    </row>
    <row r="69" spans="7:17">
      <c r="G69" s="2">
        <f t="shared" si="1"/>
        <v>1</v>
      </c>
      <c r="H69" s="17">
        <v>2080609</v>
      </c>
      <c r="I69" s="18" t="s">
        <v>107</v>
      </c>
      <c r="J69" s="18" t="s">
        <v>84</v>
      </c>
      <c r="O69"/>
      <c r="P69"/>
      <c r="Q69"/>
    </row>
    <row r="70" spans="7:17">
      <c r="G70" s="2">
        <f t="shared" si="1"/>
        <v>1</v>
      </c>
      <c r="H70" s="17">
        <v>2160801</v>
      </c>
      <c r="I70" s="18" t="s">
        <v>107</v>
      </c>
      <c r="J70" s="18" t="s">
        <v>84</v>
      </c>
      <c r="O70"/>
      <c r="P70"/>
      <c r="Q70"/>
    </row>
    <row r="71" spans="7:17">
      <c r="G71" s="2">
        <f t="shared" si="1"/>
        <v>2</v>
      </c>
      <c r="H71" s="17">
        <v>2060962</v>
      </c>
      <c r="I71" s="18" t="s">
        <v>106</v>
      </c>
      <c r="J71" s="18" t="s">
        <v>1</v>
      </c>
      <c r="O71"/>
      <c r="P71"/>
      <c r="Q71"/>
    </row>
    <row r="72" spans="7:17">
      <c r="G72" s="2">
        <f t="shared" si="1"/>
        <v>2</v>
      </c>
      <c r="H72" s="17">
        <v>2080841</v>
      </c>
      <c r="I72" s="18" t="s">
        <v>106</v>
      </c>
      <c r="J72" s="18" t="s">
        <v>1</v>
      </c>
      <c r="O72"/>
      <c r="P72"/>
      <c r="Q72"/>
    </row>
    <row r="73" spans="7:17">
      <c r="G73" s="2">
        <f t="shared" si="1"/>
        <v>2</v>
      </c>
      <c r="H73" s="17">
        <v>2080908</v>
      </c>
      <c r="I73" s="18" t="s">
        <v>106</v>
      </c>
      <c r="J73" s="18" t="s">
        <v>1</v>
      </c>
      <c r="O73"/>
      <c r="P73"/>
      <c r="Q73"/>
    </row>
    <row r="74" spans="7:17">
      <c r="G74" s="2">
        <f t="shared" si="1"/>
        <v>2</v>
      </c>
      <c r="H74" s="17">
        <v>2061107</v>
      </c>
      <c r="I74" s="18" t="s">
        <v>106</v>
      </c>
      <c r="J74" s="18" t="s">
        <v>1</v>
      </c>
      <c r="O74"/>
      <c r="P74"/>
      <c r="Q74"/>
    </row>
    <row r="75" spans="7:17">
      <c r="G75" s="2">
        <f t="shared" si="1"/>
        <v>2</v>
      </c>
      <c r="H75" s="17">
        <v>2050407</v>
      </c>
      <c r="I75" s="18" t="s">
        <v>106</v>
      </c>
      <c r="J75" s="18" t="s">
        <v>1</v>
      </c>
      <c r="O75"/>
      <c r="P75"/>
      <c r="Q75"/>
    </row>
    <row r="76" spans="7:17">
      <c r="G76" s="2">
        <f t="shared" si="1"/>
        <v>2</v>
      </c>
      <c r="H76" s="17">
        <v>2070848</v>
      </c>
      <c r="I76" s="18" t="s">
        <v>106</v>
      </c>
      <c r="J76" s="18" t="s">
        <v>1</v>
      </c>
      <c r="O76"/>
      <c r="P76"/>
      <c r="Q76"/>
    </row>
    <row r="77" spans="7:17">
      <c r="G77" s="2">
        <f t="shared" si="1"/>
        <v>2</v>
      </c>
      <c r="H77" s="17">
        <v>2120410</v>
      </c>
      <c r="I77" s="18" t="s">
        <v>106</v>
      </c>
      <c r="J77" s="18" t="s">
        <v>1</v>
      </c>
      <c r="O77"/>
      <c r="P77"/>
      <c r="Q77"/>
    </row>
    <row r="78" spans="7:17">
      <c r="G78" s="2">
        <f t="shared" si="1"/>
        <v>2</v>
      </c>
      <c r="H78" s="17">
        <v>2130104</v>
      </c>
      <c r="I78" s="18" t="s">
        <v>106</v>
      </c>
      <c r="J78" s="18" t="s">
        <v>1</v>
      </c>
      <c r="O78"/>
      <c r="P78"/>
      <c r="Q78"/>
    </row>
    <row r="79" spans="7:17">
      <c r="G79" s="2">
        <f t="shared" si="1"/>
        <v>2</v>
      </c>
      <c r="H79" s="17">
        <v>2080702</v>
      </c>
      <c r="I79" s="18" t="s">
        <v>106</v>
      </c>
      <c r="J79" s="18" t="s">
        <v>1</v>
      </c>
      <c r="O79"/>
      <c r="P79"/>
      <c r="Q79"/>
    </row>
    <row r="80" spans="7:17">
      <c r="G80" s="2">
        <f t="shared" si="1"/>
        <v>2</v>
      </c>
      <c r="H80" s="17">
        <v>2070836</v>
      </c>
      <c r="I80" s="18" t="s">
        <v>109</v>
      </c>
      <c r="J80" s="18" t="s">
        <v>6</v>
      </c>
      <c r="O80"/>
      <c r="P80"/>
      <c r="Q80"/>
    </row>
    <row r="81" spans="7:17">
      <c r="G81" s="2">
        <f t="shared" si="1"/>
        <v>2</v>
      </c>
      <c r="H81" s="17">
        <v>2070857</v>
      </c>
      <c r="I81" s="18" t="s">
        <v>109</v>
      </c>
      <c r="J81" s="18" t="s">
        <v>6</v>
      </c>
      <c r="O81"/>
      <c r="P81"/>
      <c r="Q81"/>
    </row>
    <row r="82" spans="7:17">
      <c r="G82" s="2">
        <f t="shared" si="1"/>
        <v>2</v>
      </c>
      <c r="H82" s="17">
        <v>2070634</v>
      </c>
      <c r="I82" s="18" t="s">
        <v>109</v>
      </c>
      <c r="J82" s="18" t="s">
        <v>6</v>
      </c>
      <c r="O82"/>
      <c r="P82"/>
      <c r="Q82"/>
    </row>
    <row r="83" spans="7:17">
      <c r="G83" s="2">
        <f t="shared" si="1"/>
        <v>2</v>
      </c>
      <c r="H83" s="17">
        <v>2070535</v>
      </c>
      <c r="I83" s="18" t="s">
        <v>109</v>
      </c>
      <c r="J83" s="18" t="s">
        <v>6</v>
      </c>
      <c r="O83"/>
      <c r="P83"/>
      <c r="Q83"/>
    </row>
    <row r="84" spans="7:17">
      <c r="G84" s="2">
        <f t="shared" si="1"/>
        <v>2</v>
      </c>
      <c r="H84" s="17">
        <v>2140601</v>
      </c>
      <c r="I84" s="18" t="s">
        <v>109</v>
      </c>
      <c r="J84" s="18" t="s">
        <v>6</v>
      </c>
      <c r="O84"/>
      <c r="P84"/>
      <c r="Q84"/>
    </row>
    <row r="85" spans="7:17">
      <c r="G85" s="2">
        <f t="shared" si="1"/>
        <v>2</v>
      </c>
      <c r="H85" s="17">
        <v>2221101</v>
      </c>
      <c r="I85" s="18" t="s">
        <v>109</v>
      </c>
      <c r="J85" s="18" t="s">
        <v>6</v>
      </c>
      <c r="O85"/>
      <c r="P85"/>
      <c r="Q85"/>
    </row>
    <row r="86" spans="7:17">
      <c r="G86" s="2">
        <f t="shared" si="1"/>
        <v>2</v>
      </c>
      <c r="H86" s="17">
        <v>2150734</v>
      </c>
      <c r="I86" s="18" t="s">
        <v>109</v>
      </c>
      <c r="J86" s="18" t="s">
        <v>6</v>
      </c>
      <c r="O86"/>
      <c r="P86"/>
      <c r="Q86"/>
    </row>
    <row r="87" spans="7:17">
      <c r="G87" s="2">
        <f t="shared" si="1"/>
        <v>2</v>
      </c>
      <c r="H87" s="17">
        <v>2150733</v>
      </c>
      <c r="I87" s="18" t="s">
        <v>109</v>
      </c>
      <c r="J87" s="18" t="s">
        <v>6</v>
      </c>
      <c r="O87"/>
      <c r="P87"/>
      <c r="Q87"/>
    </row>
    <row r="88" spans="7:17">
      <c r="G88" s="2">
        <f t="shared" si="1"/>
        <v>2</v>
      </c>
      <c r="H88" s="17">
        <v>2060301</v>
      </c>
      <c r="I88" s="18" t="s">
        <v>109</v>
      </c>
      <c r="J88" s="18" t="s">
        <v>6</v>
      </c>
      <c r="O88"/>
      <c r="P88"/>
      <c r="Q88"/>
    </row>
    <row r="89" spans="7:17">
      <c r="G89" s="2">
        <f t="shared" si="1"/>
        <v>2</v>
      </c>
      <c r="H89" s="17">
        <v>2070826</v>
      </c>
      <c r="I89" s="18" t="s">
        <v>109</v>
      </c>
      <c r="J89" s="18" t="s">
        <v>6</v>
      </c>
      <c r="O89"/>
      <c r="P89"/>
      <c r="Q89"/>
    </row>
    <row r="90" spans="7:17">
      <c r="G90" s="2">
        <f t="shared" si="1"/>
        <v>2</v>
      </c>
      <c r="H90" s="17">
        <v>2150830</v>
      </c>
      <c r="I90" s="18" t="s">
        <v>109</v>
      </c>
      <c r="J90" s="18" t="s">
        <v>6</v>
      </c>
      <c r="O90"/>
      <c r="P90"/>
      <c r="Q90"/>
    </row>
    <row r="91" spans="7:17">
      <c r="G91" s="2">
        <f t="shared" si="1"/>
        <v>3</v>
      </c>
      <c r="H91" s="17">
        <v>2060901</v>
      </c>
      <c r="I91" s="18" t="s">
        <v>92</v>
      </c>
      <c r="J91" s="18" t="s">
        <v>70</v>
      </c>
      <c r="O91"/>
      <c r="P91"/>
      <c r="Q91"/>
    </row>
    <row r="92" spans="7:17">
      <c r="G92" s="2">
        <f t="shared" si="1"/>
        <v>3</v>
      </c>
      <c r="H92" s="17">
        <v>2060931</v>
      </c>
      <c r="I92" s="18" t="s">
        <v>108</v>
      </c>
      <c r="J92" s="18" t="s">
        <v>85</v>
      </c>
      <c r="O92"/>
      <c r="P92"/>
      <c r="Q92"/>
    </row>
    <row r="93" spans="7:17">
      <c r="G93" s="2">
        <f t="shared" si="1"/>
        <v>3</v>
      </c>
      <c r="H93" s="17">
        <v>2070627</v>
      </c>
      <c r="I93" s="18" t="s">
        <v>108</v>
      </c>
      <c r="J93" s="18" t="s">
        <v>85</v>
      </c>
      <c r="O93"/>
      <c r="P93"/>
      <c r="Q93"/>
    </row>
    <row r="94" spans="7:17">
      <c r="G94" s="2">
        <f t="shared" si="1"/>
        <v>3</v>
      </c>
      <c r="H94" s="17">
        <v>2070104</v>
      </c>
      <c r="I94" s="18" t="s">
        <v>108</v>
      </c>
      <c r="J94" s="18" t="s">
        <v>85</v>
      </c>
      <c r="O94"/>
      <c r="P94"/>
      <c r="Q94"/>
    </row>
    <row r="95" spans="7:17">
      <c r="G95" s="2">
        <f t="shared" si="1"/>
        <v>3</v>
      </c>
      <c r="H95" s="17">
        <v>2080865</v>
      </c>
      <c r="I95" s="18" t="s">
        <v>108</v>
      </c>
      <c r="J95" s="18" t="s">
        <v>85</v>
      </c>
      <c r="O95"/>
      <c r="P95"/>
      <c r="Q95"/>
    </row>
    <row r="96" spans="7:17">
      <c r="G96" s="2">
        <f t="shared" si="1"/>
        <v>3</v>
      </c>
      <c r="H96" s="17">
        <v>2080847</v>
      </c>
      <c r="I96" s="18" t="s">
        <v>108</v>
      </c>
      <c r="J96" s="18" t="s">
        <v>85</v>
      </c>
      <c r="O96"/>
      <c r="P96"/>
      <c r="Q96"/>
    </row>
    <row r="97" spans="7:17">
      <c r="G97" s="2">
        <f t="shared" si="1"/>
        <v>3</v>
      </c>
      <c r="H97" s="17">
        <v>2110228</v>
      </c>
      <c r="I97" s="18" t="s">
        <v>108</v>
      </c>
      <c r="J97" s="18" t="s">
        <v>85</v>
      </c>
      <c r="O97"/>
      <c r="P97"/>
      <c r="Q97"/>
    </row>
    <row r="98" spans="7:17">
      <c r="G98" s="2">
        <f t="shared" si="1"/>
        <v>3</v>
      </c>
      <c r="H98" s="17">
        <v>2110224</v>
      </c>
      <c r="I98" s="18" t="s">
        <v>108</v>
      </c>
      <c r="J98" s="18" t="s">
        <v>85</v>
      </c>
      <c r="O98"/>
      <c r="P98"/>
      <c r="Q98"/>
    </row>
    <row r="99" spans="7:17">
      <c r="G99" s="2">
        <f t="shared" si="1"/>
        <v>3</v>
      </c>
      <c r="H99" s="17">
        <v>2151003</v>
      </c>
      <c r="I99" s="18" t="s">
        <v>108</v>
      </c>
      <c r="J99" s="18" t="s">
        <v>85</v>
      </c>
      <c r="O99"/>
      <c r="P99"/>
      <c r="Q99"/>
    </row>
    <row r="100" spans="7:17">
      <c r="G100" s="2">
        <f t="shared" si="1"/>
        <v>3</v>
      </c>
      <c r="H100" s="17">
        <v>2060853</v>
      </c>
      <c r="I100" s="18" t="s">
        <v>108</v>
      </c>
      <c r="J100" s="18" t="s">
        <v>85</v>
      </c>
      <c r="O100"/>
      <c r="P100"/>
      <c r="Q100"/>
    </row>
    <row r="101" spans="7:17">
      <c r="G101" s="2">
        <f t="shared" si="1"/>
        <v>3</v>
      </c>
      <c r="H101" s="17">
        <v>2221102</v>
      </c>
      <c r="I101" s="18" t="s">
        <v>96</v>
      </c>
      <c r="J101" s="18" t="s">
        <v>74</v>
      </c>
      <c r="O101"/>
      <c r="P101"/>
      <c r="Q101"/>
    </row>
    <row r="102" spans="7:17">
      <c r="G102" s="2">
        <f t="shared" si="1"/>
        <v>3</v>
      </c>
      <c r="H102" s="17">
        <v>2120409</v>
      </c>
      <c r="I102" s="18" t="s">
        <v>96</v>
      </c>
      <c r="J102" s="18" t="s">
        <v>74</v>
      </c>
      <c r="O102"/>
      <c r="P102"/>
      <c r="Q102"/>
    </row>
    <row r="103" spans="7:17">
      <c r="G103" s="2">
        <f t="shared" si="1"/>
        <v>3</v>
      </c>
      <c r="H103" s="17">
        <v>2100612</v>
      </c>
      <c r="I103" s="18" t="s">
        <v>96</v>
      </c>
      <c r="J103" s="18" t="s">
        <v>74</v>
      </c>
      <c r="O103"/>
      <c r="P103"/>
      <c r="Q103"/>
    </row>
    <row r="104" spans="7:17">
      <c r="G104" s="2">
        <f t="shared" si="1"/>
        <v>3</v>
      </c>
      <c r="H104" s="17">
        <v>2140303</v>
      </c>
      <c r="I104" s="18" t="s">
        <v>96</v>
      </c>
      <c r="J104" s="18" t="s">
        <v>74</v>
      </c>
      <c r="O104"/>
      <c r="P104"/>
      <c r="Q104"/>
    </row>
    <row r="105" spans="7:17">
      <c r="G105" s="2">
        <f t="shared" si="1"/>
        <v>3</v>
      </c>
      <c r="H105" s="17">
        <v>2070624</v>
      </c>
      <c r="I105" s="18" t="s">
        <v>97</v>
      </c>
      <c r="J105" s="18" t="s">
        <v>75</v>
      </c>
      <c r="O105"/>
      <c r="P105"/>
      <c r="Q105"/>
    </row>
    <row r="106" spans="7:17">
      <c r="G106" s="2">
        <f t="shared" si="1"/>
        <v>3</v>
      </c>
      <c r="H106" s="17">
        <v>2060935</v>
      </c>
      <c r="I106" s="18" t="s">
        <v>97</v>
      </c>
      <c r="J106" s="18" t="s">
        <v>75</v>
      </c>
      <c r="O106"/>
      <c r="P106"/>
      <c r="Q106"/>
    </row>
    <row r="107" spans="7:17">
      <c r="G107" s="2">
        <f t="shared" si="1"/>
        <v>3</v>
      </c>
      <c r="H107" s="17">
        <v>2060938</v>
      </c>
      <c r="I107" s="18" t="s">
        <v>97</v>
      </c>
      <c r="J107" s="18" t="s">
        <v>75</v>
      </c>
      <c r="O107"/>
      <c r="P107"/>
      <c r="Q107"/>
    </row>
    <row r="108" spans="7:17">
      <c r="G108" s="2">
        <f t="shared" si="1"/>
        <v>3</v>
      </c>
      <c r="H108" s="17">
        <v>2110114</v>
      </c>
      <c r="I108" s="18" t="s">
        <v>92</v>
      </c>
      <c r="J108" s="18" t="s">
        <v>70</v>
      </c>
      <c r="O108"/>
      <c r="P108"/>
      <c r="Q108"/>
    </row>
    <row r="109" spans="7:17">
      <c r="G109" s="2">
        <f t="shared" si="1"/>
        <v>3</v>
      </c>
      <c r="H109" s="17">
        <v>2080843</v>
      </c>
      <c r="I109" s="18" t="s">
        <v>97</v>
      </c>
      <c r="J109" s="18" t="s">
        <v>75</v>
      </c>
      <c r="O109"/>
      <c r="P109"/>
      <c r="Q109"/>
    </row>
    <row r="110" spans="7:17">
      <c r="G110" s="2">
        <f t="shared" si="1"/>
        <v>3</v>
      </c>
      <c r="H110" s="17">
        <v>2150736</v>
      </c>
      <c r="I110" s="18" t="s">
        <v>97</v>
      </c>
      <c r="J110" s="18" t="s">
        <v>75</v>
      </c>
      <c r="O110"/>
      <c r="P110"/>
      <c r="Q110"/>
    </row>
    <row r="111" spans="7:17">
      <c r="G111" s="2">
        <f t="shared" si="1"/>
        <v>3</v>
      </c>
      <c r="H111" s="17">
        <v>2060948</v>
      </c>
      <c r="I111" s="18" t="s">
        <v>92</v>
      </c>
      <c r="J111" s="18" t="s">
        <v>70</v>
      </c>
      <c r="O111"/>
      <c r="P111"/>
      <c r="Q111"/>
    </row>
    <row r="112" spans="7:17">
      <c r="G112" s="2">
        <f t="shared" si="1"/>
        <v>3</v>
      </c>
      <c r="H112" s="17">
        <v>2060950</v>
      </c>
      <c r="I112" s="18" t="s">
        <v>97</v>
      </c>
      <c r="J112" s="18" t="s">
        <v>75</v>
      </c>
      <c r="O112"/>
      <c r="P112"/>
      <c r="Q112"/>
    </row>
    <row r="113" spans="7:17">
      <c r="G113" s="2">
        <f t="shared" si="1"/>
        <v>3</v>
      </c>
      <c r="H113" s="17">
        <v>2070621</v>
      </c>
      <c r="I113" s="18" t="s">
        <v>97</v>
      </c>
      <c r="J113" s="18" t="s">
        <v>75</v>
      </c>
      <c r="O113"/>
      <c r="P113"/>
      <c r="Q113"/>
    </row>
    <row r="114" spans="7:17">
      <c r="G114" s="2">
        <f t="shared" si="1"/>
        <v>3</v>
      </c>
      <c r="H114" s="17">
        <v>2150794</v>
      </c>
      <c r="I114" s="18" t="s">
        <v>97</v>
      </c>
      <c r="J114" s="18" t="s">
        <v>75</v>
      </c>
      <c r="O114"/>
      <c r="P114"/>
      <c r="Q114"/>
    </row>
    <row r="115" spans="7:17">
      <c r="G115" s="2">
        <f t="shared" si="1"/>
        <v>3</v>
      </c>
      <c r="H115" s="17">
        <v>2070722</v>
      </c>
      <c r="I115" s="18" t="s">
        <v>97</v>
      </c>
      <c r="J115" s="18" t="s">
        <v>75</v>
      </c>
      <c r="O115"/>
      <c r="P115"/>
      <c r="Q115"/>
    </row>
    <row r="116" spans="7:17">
      <c r="G116" s="2">
        <f t="shared" si="1"/>
        <v>3</v>
      </c>
      <c r="H116" s="17">
        <v>2150821</v>
      </c>
      <c r="I116" s="18" t="s">
        <v>92</v>
      </c>
      <c r="J116" s="18" t="s">
        <v>70</v>
      </c>
      <c r="O116"/>
      <c r="P116"/>
      <c r="Q116"/>
    </row>
    <row r="117" spans="7:17">
      <c r="G117" s="2">
        <f t="shared" si="1"/>
        <v>3</v>
      </c>
      <c r="H117" s="17">
        <v>2070633</v>
      </c>
      <c r="I117" s="18" t="s">
        <v>92</v>
      </c>
      <c r="J117" s="18" t="s">
        <v>70</v>
      </c>
      <c r="O117"/>
      <c r="P117"/>
      <c r="Q117"/>
    </row>
    <row r="118" spans="7:17">
      <c r="G118" s="2">
        <f t="shared" si="1"/>
        <v>3</v>
      </c>
      <c r="H118" s="17">
        <v>2150772</v>
      </c>
      <c r="I118" s="18" t="s">
        <v>97</v>
      </c>
      <c r="J118" s="18" t="s">
        <v>75</v>
      </c>
      <c r="O118"/>
      <c r="P118"/>
      <c r="Q118"/>
    </row>
    <row r="119" spans="7:17">
      <c r="G119" s="2">
        <f t="shared" si="1"/>
        <v>3</v>
      </c>
      <c r="H119" s="17">
        <v>2120801</v>
      </c>
      <c r="I119" s="18" t="s">
        <v>92</v>
      </c>
      <c r="J119" s="18" t="s">
        <v>70</v>
      </c>
      <c r="O119"/>
      <c r="P119"/>
      <c r="Q119"/>
    </row>
    <row r="120" spans="7:17">
      <c r="G120" s="2">
        <f t="shared" si="1"/>
        <v>3</v>
      </c>
      <c r="H120" s="17">
        <v>2050534</v>
      </c>
      <c r="I120" s="18" t="s">
        <v>97</v>
      </c>
      <c r="J120" s="18" t="s">
        <v>75</v>
      </c>
      <c r="O120"/>
      <c r="P120"/>
      <c r="Q120"/>
    </row>
    <row r="121" spans="7:17">
      <c r="G121" s="2">
        <f t="shared" si="1"/>
        <v>3</v>
      </c>
      <c r="H121" s="17">
        <v>2050525</v>
      </c>
      <c r="I121" s="18" t="s">
        <v>97</v>
      </c>
      <c r="J121" s="18" t="s">
        <v>75</v>
      </c>
      <c r="O121"/>
      <c r="P121"/>
      <c r="Q121"/>
    </row>
    <row r="122" spans="7:17">
      <c r="G122" s="2">
        <f t="shared" si="1"/>
        <v>3</v>
      </c>
      <c r="H122" s="17">
        <v>2051204</v>
      </c>
      <c r="I122" s="18" t="s">
        <v>97</v>
      </c>
      <c r="J122" s="18" t="s">
        <v>75</v>
      </c>
      <c r="O122"/>
      <c r="P122"/>
      <c r="Q122"/>
    </row>
    <row r="123" spans="7:17">
      <c r="G123" s="2">
        <f t="shared" si="1"/>
        <v>3</v>
      </c>
      <c r="H123" s="17">
        <v>2150735</v>
      </c>
      <c r="I123" s="18" t="s">
        <v>97</v>
      </c>
      <c r="J123" s="18" t="s">
        <v>75</v>
      </c>
      <c r="O123"/>
      <c r="P123"/>
      <c r="Q123"/>
    </row>
    <row r="124" spans="7:17">
      <c r="G124" s="2">
        <f t="shared" si="1"/>
        <v>3</v>
      </c>
      <c r="H124" s="17">
        <v>2061020</v>
      </c>
      <c r="I124" s="18" t="s">
        <v>97</v>
      </c>
      <c r="J124" s="18" t="s">
        <v>75</v>
      </c>
      <c r="O124"/>
      <c r="P124"/>
      <c r="Q124"/>
    </row>
    <row r="125" spans="7:17">
      <c r="G125" s="2">
        <f t="shared" si="1"/>
        <v>3</v>
      </c>
      <c r="H125" s="17">
        <v>2061023</v>
      </c>
      <c r="I125" s="18" t="s">
        <v>97</v>
      </c>
      <c r="J125" s="18" t="s">
        <v>75</v>
      </c>
      <c r="O125"/>
      <c r="P125"/>
      <c r="Q125"/>
    </row>
    <row r="126" spans="7:17">
      <c r="G126" s="2">
        <f t="shared" si="1"/>
        <v>3</v>
      </c>
      <c r="H126" s="17">
        <v>2050584</v>
      </c>
      <c r="I126" s="18" t="s">
        <v>97</v>
      </c>
      <c r="J126" s="18" t="s">
        <v>75</v>
      </c>
      <c r="O126"/>
      <c r="P126"/>
      <c r="Q126"/>
    </row>
    <row r="127" spans="7:17">
      <c r="G127" s="2">
        <f t="shared" si="1"/>
        <v>3</v>
      </c>
      <c r="H127" s="17">
        <v>2050576</v>
      </c>
      <c r="I127" s="18" t="s">
        <v>97</v>
      </c>
      <c r="J127" s="18" t="s">
        <v>75</v>
      </c>
      <c r="O127"/>
      <c r="P127"/>
      <c r="Q127"/>
    </row>
    <row r="128" spans="7:17">
      <c r="G128" s="2">
        <f t="shared" si="1"/>
        <v>3</v>
      </c>
      <c r="H128" s="17">
        <v>2080862</v>
      </c>
      <c r="I128" s="18" t="s">
        <v>97</v>
      </c>
      <c r="J128" s="18" t="s">
        <v>75</v>
      </c>
      <c r="O128"/>
      <c r="P128"/>
      <c r="Q128"/>
    </row>
    <row r="129" spans="7:17">
      <c r="G129" s="2">
        <f t="shared" si="1"/>
        <v>3</v>
      </c>
      <c r="H129" s="17">
        <v>2080518</v>
      </c>
      <c r="I129" s="18" t="s">
        <v>92</v>
      </c>
      <c r="J129" s="18" t="s">
        <v>70</v>
      </c>
      <c r="O129"/>
      <c r="P129"/>
      <c r="Q129"/>
    </row>
    <row r="130" spans="7:17">
      <c r="G130" s="2">
        <f t="shared" ref="G130:G193" si="2">VLOOKUP(J130,$P$2:$Q$25,2,0)</f>
        <v>3</v>
      </c>
      <c r="H130" s="17">
        <v>2060946</v>
      </c>
      <c r="I130" s="18" t="s">
        <v>97</v>
      </c>
      <c r="J130" s="18" t="s">
        <v>75</v>
      </c>
      <c r="O130"/>
      <c r="P130"/>
      <c r="Q130"/>
    </row>
    <row r="131" spans="7:17">
      <c r="G131" s="2">
        <f t="shared" si="2"/>
        <v>3</v>
      </c>
      <c r="H131" s="17">
        <v>2100803</v>
      </c>
      <c r="I131" s="18" t="s">
        <v>97</v>
      </c>
      <c r="J131" s="18" t="s">
        <v>75</v>
      </c>
      <c r="O131"/>
      <c r="P131"/>
      <c r="Q131"/>
    </row>
    <row r="132" spans="7:17">
      <c r="G132" s="2">
        <f t="shared" si="2"/>
        <v>3</v>
      </c>
      <c r="H132" s="17">
        <v>2101206</v>
      </c>
      <c r="I132" s="18" t="s">
        <v>97</v>
      </c>
      <c r="J132" s="18" t="s">
        <v>75</v>
      </c>
      <c r="O132"/>
      <c r="P132"/>
      <c r="Q132"/>
    </row>
    <row r="133" spans="7:17">
      <c r="G133" s="2">
        <f t="shared" si="2"/>
        <v>3</v>
      </c>
      <c r="H133" s="17">
        <v>2150810</v>
      </c>
      <c r="I133" s="18" t="s">
        <v>97</v>
      </c>
      <c r="J133" s="18" t="s">
        <v>75</v>
      </c>
      <c r="O133"/>
      <c r="P133"/>
      <c r="Q133"/>
    </row>
    <row r="134" spans="7:17">
      <c r="G134" s="2">
        <f t="shared" si="2"/>
        <v>3</v>
      </c>
      <c r="H134" s="17">
        <v>2231103</v>
      </c>
      <c r="I134" s="18" t="s">
        <v>97</v>
      </c>
      <c r="J134" s="18" t="s">
        <v>75</v>
      </c>
      <c r="O134"/>
      <c r="P134"/>
      <c r="Q134"/>
    </row>
    <row r="135" spans="7:17">
      <c r="G135" s="2">
        <f t="shared" si="2"/>
        <v>3</v>
      </c>
      <c r="H135" s="17">
        <v>2110106</v>
      </c>
      <c r="I135" s="18" t="s">
        <v>97</v>
      </c>
      <c r="J135" s="18" t="s">
        <v>75</v>
      </c>
      <c r="O135"/>
      <c r="P135"/>
      <c r="Q135"/>
    </row>
    <row r="136" spans="7:17">
      <c r="G136" s="2">
        <f t="shared" si="2"/>
        <v>3</v>
      </c>
      <c r="H136" s="17">
        <v>2070646</v>
      </c>
      <c r="I136" s="18" t="s">
        <v>97</v>
      </c>
      <c r="J136" s="18" t="s">
        <v>75</v>
      </c>
      <c r="O136"/>
      <c r="P136"/>
      <c r="Q136"/>
    </row>
    <row r="137" spans="7:17">
      <c r="G137" s="2">
        <f t="shared" si="2"/>
        <v>3</v>
      </c>
      <c r="H137" s="17">
        <v>2150833</v>
      </c>
      <c r="I137" s="18" t="s">
        <v>92</v>
      </c>
      <c r="J137" s="18" t="s">
        <v>70</v>
      </c>
      <c r="O137"/>
      <c r="P137"/>
      <c r="Q137"/>
    </row>
    <row r="138" spans="7:17">
      <c r="G138" s="2">
        <f t="shared" si="2"/>
        <v>3</v>
      </c>
      <c r="H138" s="17">
        <v>2080831</v>
      </c>
      <c r="I138" s="18" t="s">
        <v>92</v>
      </c>
      <c r="J138" s="18" t="s">
        <v>70</v>
      </c>
      <c r="O138"/>
      <c r="P138"/>
      <c r="Q138"/>
    </row>
    <row r="139" spans="7:17">
      <c r="G139" s="2">
        <f t="shared" si="2"/>
        <v>3</v>
      </c>
      <c r="H139" s="17">
        <v>2110409</v>
      </c>
      <c r="I139" s="18" t="s">
        <v>92</v>
      </c>
      <c r="J139" s="18" t="s">
        <v>70</v>
      </c>
      <c r="O139"/>
      <c r="P139"/>
      <c r="Q139"/>
    </row>
    <row r="140" spans="7:17">
      <c r="G140" s="2">
        <f t="shared" si="2"/>
        <v>3</v>
      </c>
      <c r="H140" s="17">
        <v>2150831</v>
      </c>
      <c r="I140" s="18" t="s">
        <v>97</v>
      </c>
      <c r="J140" s="18" t="s">
        <v>75</v>
      </c>
      <c r="O140"/>
      <c r="P140"/>
      <c r="Q140"/>
    </row>
    <row r="141" spans="7:17">
      <c r="G141" s="2">
        <f t="shared" si="2"/>
        <v>3</v>
      </c>
      <c r="H141" s="17">
        <v>2170205</v>
      </c>
      <c r="I141" s="18" t="s">
        <v>98</v>
      </c>
      <c r="J141" s="18" t="s">
        <v>76</v>
      </c>
      <c r="O141"/>
      <c r="P141"/>
      <c r="Q141"/>
    </row>
    <row r="142" spans="7:17">
      <c r="G142" s="2">
        <f t="shared" si="2"/>
        <v>3</v>
      </c>
      <c r="H142" s="17">
        <v>2050532</v>
      </c>
      <c r="I142" s="18" t="s">
        <v>99</v>
      </c>
      <c r="J142" s="18" t="s">
        <v>77</v>
      </c>
      <c r="O142"/>
      <c r="P142"/>
      <c r="Q142"/>
    </row>
    <row r="143" spans="7:17">
      <c r="G143" s="2">
        <f t="shared" si="2"/>
        <v>3</v>
      </c>
      <c r="H143" s="17">
        <v>2060933</v>
      </c>
      <c r="I143" s="18" t="s">
        <v>97</v>
      </c>
      <c r="J143" s="18" t="s">
        <v>75</v>
      </c>
      <c r="O143"/>
      <c r="P143"/>
      <c r="Q143"/>
    </row>
    <row r="144" spans="7:17">
      <c r="G144" s="2">
        <f t="shared" si="2"/>
        <v>3</v>
      </c>
      <c r="H144" s="17">
        <v>2051001</v>
      </c>
      <c r="I144" s="18" t="s">
        <v>99</v>
      </c>
      <c r="J144" s="18" t="s">
        <v>77</v>
      </c>
      <c r="O144"/>
      <c r="P144"/>
      <c r="Q144"/>
    </row>
    <row r="145" spans="7:17">
      <c r="G145" s="2">
        <f t="shared" si="2"/>
        <v>3</v>
      </c>
      <c r="H145" s="17">
        <v>2080902</v>
      </c>
      <c r="I145" s="18" t="s">
        <v>97</v>
      </c>
      <c r="J145" s="18" t="s">
        <v>75</v>
      </c>
      <c r="O145"/>
      <c r="P145"/>
      <c r="Q145"/>
    </row>
    <row r="146" spans="7:17">
      <c r="G146" s="2">
        <f t="shared" si="2"/>
        <v>3</v>
      </c>
      <c r="H146" s="17">
        <v>2060871</v>
      </c>
      <c r="I146" s="18" t="s">
        <v>99</v>
      </c>
      <c r="J146" s="18" t="s">
        <v>77</v>
      </c>
      <c r="O146"/>
      <c r="P146"/>
      <c r="Q146"/>
    </row>
    <row r="147" spans="7:17">
      <c r="G147" s="2">
        <f t="shared" si="2"/>
        <v>3</v>
      </c>
      <c r="H147" s="17">
        <v>2150768</v>
      </c>
      <c r="I147" s="18" t="s">
        <v>97</v>
      </c>
      <c r="J147" s="18" t="s">
        <v>75</v>
      </c>
      <c r="O147"/>
      <c r="P147"/>
      <c r="Q147"/>
    </row>
    <row r="148" spans="7:17">
      <c r="G148" s="2">
        <f t="shared" si="2"/>
        <v>3</v>
      </c>
      <c r="H148" s="17">
        <v>2140401</v>
      </c>
      <c r="I148" s="18" t="s">
        <v>99</v>
      </c>
      <c r="J148" s="18" t="s">
        <v>77</v>
      </c>
      <c r="O148"/>
      <c r="P148"/>
      <c r="Q148"/>
    </row>
    <row r="149" spans="7:17">
      <c r="G149" s="2">
        <f t="shared" si="2"/>
        <v>3</v>
      </c>
      <c r="H149" s="17">
        <v>2150791</v>
      </c>
      <c r="I149" s="18" t="s">
        <v>97</v>
      </c>
      <c r="J149" s="18" t="s">
        <v>75</v>
      </c>
      <c r="O149"/>
      <c r="P149"/>
      <c r="Q149"/>
    </row>
    <row r="150" spans="7:17">
      <c r="G150" s="2">
        <f t="shared" si="2"/>
        <v>3</v>
      </c>
      <c r="H150" s="17">
        <v>2070841</v>
      </c>
      <c r="I150" s="18" t="s">
        <v>99</v>
      </c>
      <c r="J150" s="18" t="s">
        <v>77</v>
      </c>
      <c r="O150"/>
      <c r="P150"/>
      <c r="Q150"/>
    </row>
    <row r="151" spans="7:17">
      <c r="G151" s="2">
        <f t="shared" si="2"/>
        <v>3</v>
      </c>
      <c r="H151" s="17">
        <v>2080708</v>
      </c>
      <c r="I151" s="18" t="s">
        <v>97</v>
      </c>
      <c r="J151" s="18" t="s">
        <v>75</v>
      </c>
      <c r="O151"/>
      <c r="P151"/>
      <c r="Q151"/>
    </row>
    <row r="152" spans="7:17">
      <c r="G152" s="2">
        <f t="shared" si="2"/>
        <v>3</v>
      </c>
      <c r="H152" s="17">
        <v>2050580</v>
      </c>
      <c r="I152" s="18" t="s">
        <v>99</v>
      </c>
      <c r="J152" s="18" t="s">
        <v>77</v>
      </c>
      <c r="O152"/>
      <c r="P152"/>
      <c r="Q152"/>
    </row>
    <row r="153" spans="7:17">
      <c r="G153" s="2">
        <f t="shared" si="2"/>
        <v>3</v>
      </c>
      <c r="H153" s="17">
        <v>2150766</v>
      </c>
      <c r="I153" s="18" t="s">
        <v>97</v>
      </c>
      <c r="J153" s="18" t="s">
        <v>75</v>
      </c>
      <c r="O153"/>
      <c r="P153"/>
      <c r="Q153"/>
    </row>
    <row r="154" spans="7:17">
      <c r="G154" s="2">
        <f t="shared" si="2"/>
        <v>3</v>
      </c>
      <c r="H154" s="17">
        <v>2080510</v>
      </c>
      <c r="I154" s="18" t="s">
        <v>97</v>
      </c>
      <c r="J154" s="18" t="s">
        <v>75</v>
      </c>
      <c r="O154"/>
      <c r="P154"/>
      <c r="Q154"/>
    </row>
    <row r="155" spans="7:17">
      <c r="G155" s="2">
        <f t="shared" si="2"/>
        <v>3</v>
      </c>
      <c r="H155" s="17">
        <v>2070304</v>
      </c>
      <c r="I155" s="18" t="s">
        <v>97</v>
      </c>
      <c r="J155" s="18" t="s">
        <v>75</v>
      </c>
      <c r="O155"/>
      <c r="P155"/>
      <c r="Q155"/>
    </row>
    <row r="156" spans="7:17">
      <c r="G156" s="2">
        <f t="shared" si="2"/>
        <v>3</v>
      </c>
      <c r="H156" s="17">
        <v>2090803</v>
      </c>
      <c r="I156" s="18" t="s">
        <v>99</v>
      </c>
      <c r="J156" s="18" t="s">
        <v>77</v>
      </c>
      <c r="O156"/>
      <c r="P156"/>
      <c r="Q156"/>
    </row>
    <row r="157" spans="7:17">
      <c r="G157" s="2">
        <f t="shared" si="2"/>
        <v>3</v>
      </c>
      <c r="H157" s="17">
        <v>2251101</v>
      </c>
      <c r="I157" s="18" t="s">
        <v>97</v>
      </c>
      <c r="J157" s="18" t="s">
        <v>75</v>
      </c>
      <c r="O157"/>
      <c r="P157"/>
      <c r="Q157"/>
    </row>
    <row r="158" spans="7:17">
      <c r="G158" s="2">
        <f t="shared" si="2"/>
        <v>3</v>
      </c>
      <c r="H158" s="17">
        <v>2250304</v>
      </c>
      <c r="I158" s="18" t="s">
        <v>99</v>
      </c>
      <c r="J158" s="18" t="s">
        <v>77</v>
      </c>
      <c r="O158"/>
      <c r="P158"/>
      <c r="Q158"/>
    </row>
    <row r="159" spans="7:17">
      <c r="G159" s="2">
        <f t="shared" si="2"/>
        <v>3</v>
      </c>
      <c r="H159" s="17">
        <v>2250702</v>
      </c>
      <c r="I159" s="18" t="s">
        <v>99</v>
      </c>
      <c r="J159" s="18" t="s">
        <v>77</v>
      </c>
      <c r="O159"/>
      <c r="P159"/>
      <c r="Q159"/>
    </row>
    <row r="160" spans="7:17">
      <c r="G160" s="2">
        <f t="shared" si="2"/>
        <v>3</v>
      </c>
      <c r="H160" s="17">
        <v>2220701</v>
      </c>
      <c r="I160" s="18" t="s">
        <v>97</v>
      </c>
      <c r="J160" s="18" t="s">
        <v>75</v>
      </c>
      <c r="O160"/>
      <c r="P160"/>
      <c r="Q160"/>
    </row>
    <row r="161" spans="7:17">
      <c r="G161" s="2">
        <f t="shared" si="2"/>
        <v>3</v>
      </c>
      <c r="H161" s="17">
        <v>2250303</v>
      </c>
      <c r="I161" s="18" t="s">
        <v>97</v>
      </c>
      <c r="J161" s="18" t="s">
        <v>75</v>
      </c>
      <c r="O161"/>
      <c r="P161"/>
      <c r="Q161"/>
    </row>
    <row r="162" spans="7:17">
      <c r="G162" s="2">
        <f t="shared" si="2"/>
        <v>3</v>
      </c>
      <c r="H162" s="17">
        <v>2160802</v>
      </c>
      <c r="I162" s="18" t="s">
        <v>97</v>
      </c>
      <c r="J162" s="18" t="s">
        <v>75</v>
      </c>
      <c r="O162"/>
      <c r="P162"/>
      <c r="Q162"/>
    </row>
    <row r="163" spans="7:17">
      <c r="G163" s="2">
        <f t="shared" si="2"/>
        <v>3</v>
      </c>
      <c r="H163" s="17">
        <v>2090802</v>
      </c>
      <c r="I163" s="18" t="s">
        <v>97</v>
      </c>
      <c r="J163" s="18" t="s">
        <v>75</v>
      </c>
      <c r="O163"/>
      <c r="P163"/>
      <c r="Q163"/>
    </row>
    <row r="164" spans="7:17">
      <c r="G164" s="2">
        <f t="shared" si="2"/>
        <v>3</v>
      </c>
      <c r="H164" s="17">
        <v>2150769</v>
      </c>
      <c r="I164" s="18" t="s">
        <v>98</v>
      </c>
      <c r="J164" s="18" t="s">
        <v>76</v>
      </c>
      <c r="O164"/>
      <c r="P164"/>
      <c r="Q164"/>
    </row>
    <row r="165" spans="7:17">
      <c r="G165" s="2">
        <f t="shared" si="2"/>
        <v>3</v>
      </c>
      <c r="H165" s="17">
        <v>2150789</v>
      </c>
      <c r="I165" s="18" t="s">
        <v>98</v>
      </c>
      <c r="J165" s="18" t="s">
        <v>76</v>
      </c>
      <c r="O165"/>
      <c r="P165"/>
      <c r="Q165"/>
    </row>
    <row r="166" spans="7:17">
      <c r="G166" s="2">
        <f t="shared" si="2"/>
        <v>3</v>
      </c>
      <c r="H166" s="17">
        <v>2100310</v>
      </c>
      <c r="I166" s="18" t="s">
        <v>98</v>
      </c>
      <c r="J166" s="18" t="s">
        <v>76</v>
      </c>
      <c r="O166"/>
      <c r="P166"/>
      <c r="Q166"/>
    </row>
    <row r="167" spans="7:17">
      <c r="G167" s="2">
        <f t="shared" si="2"/>
        <v>3</v>
      </c>
      <c r="H167" s="17">
        <v>2050101</v>
      </c>
      <c r="I167" s="18" t="s">
        <v>98</v>
      </c>
      <c r="J167" s="18" t="s">
        <v>76</v>
      </c>
      <c r="O167"/>
      <c r="P167"/>
      <c r="Q167"/>
    </row>
    <row r="168" spans="7:17">
      <c r="G168" s="2">
        <f t="shared" si="2"/>
        <v>3</v>
      </c>
      <c r="H168" s="17">
        <v>2051103</v>
      </c>
      <c r="I168" s="18" t="s">
        <v>99</v>
      </c>
      <c r="J168" s="18" t="s">
        <v>77</v>
      </c>
      <c r="O168"/>
      <c r="P168"/>
      <c r="Q168"/>
    </row>
    <row r="169" spans="7:17">
      <c r="G169" s="2">
        <f t="shared" si="2"/>
        <v>3</v>
      </c>
      <c r="H169" s="17">
        <v>2070822</v>
      </c>
      <c r="I169" s="18" t="s">
        <v>99</v>
      </c>
      <c r="J169" s="18" t="s">
        <v>77</v>
      </c>
      <c r="O169"/>
      <c r="P169"/>
      <c r="Q169"/>
    </row>
    <row r="170" spans="7:17">
      <c r="G170" s="2">
        <f t="shared" si="2"/>
        <v>3</v>
      </c>
      <c r="H170" s="17">
        <v>2070530</v>
      </c>
      <c r="I170" s="18" t="s">
        <v>99</v>
      </c>
      <c r="J170" s="18" t="s">
        <v>77</v>
      </c>
      <c r="O170"/>
      <c r="P170"/>
      <c r="Q170"/>
    </row>
    <row r="171" spans="7:17">
      <c r="G171" s="2">
        <f t="shared" si="2"/>
        <v>3</v>
      </c>
      <c r="H171" s="17">
        <v>2060971</v>
      </c>
      <c r="I171" s="18" t="s">
        <v>99</v>
      </c>
      <c r="J171" s="18" t="s">
        <v>77</v>
      </c>
      <c r="O171"/>
      <c r="P171"/>
      <c r="Q171"/>
    </row>
    <row r="172" spans="7:17">
      <c r="G172" s="2">
        <f t="shared" si="2"/>
        <v>3</v>
      </c>
      <c r="H172" s="17">
        <v>2080829</v>
      </c>
      <c r="I172" s="18" t="s">
        <v>97</v>
      </c>
      <c r="J172" s="18" t="s">
        <v>75</v>
      </c>
      <c r="O172"/>
      <c r="P172"/>
      <c r="Q172"/>
    </row>
    <row r="173" spans="7:17">
      <c r="G173" s="2">
        <f t="shared" si="2"/>
        <v>3</v>
      </c>
      <c r="H173" s="17">
        <v>2080402</v>
      </c>
      <c r="I173" s="18" t="s">
        <v>97</v>
      </c>
      <c r="J173" s="18" t="s">
        <v>75</v>
      </c>
      <c r="O173"/>
      <c r="P173"/>
      <c r="Q173"/>
    </row>
    <row r="174" spans="7:17">
      <c r="G174" s="2">
        <f t="shared" si="2"/>
        <v>3</v>
      </c>
      <c r="H174" s="17">
        <v>2110605</v>
      </c>
      <c r="I174" s="18" t="s">
        <v>99</v>
      </c>
      <c r="J174" s="18" t="s">
        <v>77</v>
      </c>
      <c r="O174"/>
      <c r="P174"/>
      <c r="Q174"/>
    </row>
    <row r="175" spans="7:17">
      <c r="G175" s="2">
        <f t="shared" si="2"/>
        <v>3</v>
      </c>
      <c r="H175" s="17">
        <v>2050564</v>
      </c>
      <c r="I175" s="18" t="s">
        <v>99</v>
      </c>
      <c r="J175" s="18" t="s">
        <v>77</v>
      </c>
      <c r="O175"/>
      <c r="P175"/>
      <c r="Q175"/>
    </row>
    <row r="176" spans="7:17">
      <c r="G176" s="2">
        <f t="shared" si="2"/>
        <v>3</v>
      </c>
      <c r="H176" s="17">
        <v>2121103</v>
      </c>
      <c r="I176" s="18" t="s">
        <v>97</v>
      </c>
      <c r="J176" s="18" t="s">
        <v>75</v>
      </c>
      <c r="O176"/>
      <c r="P176"/>
      <c r="Q176"/>
    </row>
    <row r="177" spans="7:17">
      <c r="G177" s="2">
        <f t="shared" si="2"/>
        <v>3</v>
      </c>
      <c r="H177" s="17">
        <v>2120603</v>
      </c>
      <c r="I177" s="18" t="s">
        <v>99</v>
      </c>
      <c r="J177" s="18" t="s">
        <v>77</v>
      </c>
      <c r="O177"/>
      <c r="P177"/>
      <c r="Q177"/>
    </row>
    <row r="178" spans="7:17">
      <c r="G178" s="2">
        <f t="shared" si="2"/>
        <v>3</v>
      </c>
      <c r="H178" s="17">
        <v>2060873</v>
      </c>
      <c r="I178" s="18" t="s">
        <v>97</v>
      </c>
      <c r="J178" s="18" t="s">
        <v>75</v>
      </c>
      <c r="O178"/>
      <c r="P178"/>
      <c r="Q178"/>
    </row>
    <row r="179" spans="7:17">
      <c r="G179" s="2">
        <f t="shared" si="2"/>
        <v>3</v>
      </c>
      <c r="H179" s="17">
        <v>2060863</v>
      </c>
      <c r="I179" s="18" t="s">
        <v>99</v>
      </c>
      <c r="J179" s="18" t="s">
        <v>77</v>
      </c>
      <c r="O179"/>
      <c r="P179"/>
      <c r="Q179"/>
    </row>
    <row r="180" spans="7:17">
      <c r="G180" s="2">
        <f t="shared" si="2"/>
        <v>3</v>
      </c>
      <c r="H180" s="17">
        <v>2150806</v>
      </c>
      <c r="I180" s="18" t="s">
        <v>99</v>
      </c>
      <c r="J180" s="18" t="s">
        <v>77</v>
      </c>
      <c r="O180"/>
      <c r="P180"/>
      <c r="Q180"/>
    </row>
    <row r="181" spans="7:17">
      <c r="G181" s="2">
        <f t="shared" si="2"/>
        <v>3</v>
      </c>
      <c r="H181" s="17">
        <v>2101006</v>
      </c>
      <c r="I181" s="18" t="s">
        <v>99</v>
      </c>
      <c r="J181" s="18" t="s">
        <v>77</v>
      </c>
      <c r="O181"/>
      <c r="P181"/>
      <c r="Q181"/>
    </row>
    <row r="182" spans="7:17">
      <c r="G182" s="2">
        <f t="shared" si="2"/>
        <v>3</v>
      </c>
      <c r="H182" s="17">
        <v>2100306</v>
      </c>
      <c r="I182" s="18" t="s">
        <v>99</v>
      </c>
      <c r="J182" s="18" t="s">
        <v>77</v>
      </c>
      <c r="O182"/>
      <c r="P182"/>
      <c r="Q182"/>
    </row>
    <row r="183" spans="7:17">
      <c r="G183" s="2">
        <f t="shared" si="2"/>
        <v>3</v>
      </c>
      <c r="H183" s="17">
        <v>2150817</v>
      </c>
      <c r="I183" s="18" t="s">
        <v>99</v>
      </c>
      <c r="J183" s="18" t="s">
        <v>77</v>
      </c>
      <c r="O183"/>
      <c r="P183"/>
      <c r="Q183"/>
    </row>
    <row r="184" spans="7:17">
      <c r="G184" s="2">
        <f t="shared" si="2"/>
        <v>3</v>
      </c>
      <c r="H184" s="17">
        <v>2150788</v>
      </c>
      <c r="I184" s="18" t="s">
        <v>99</v>
      </c>
      <c r="J184" s="18" t="s">
        <v>77</v>
      </c>
      <c r="O184"/>
      <c r="P184"/>
      <c r="Q184"/>
    </row>
    <row r="185" spans="7:17">
      <c r="G185" s="2">
        <f t="shared" si="2"/>
        <v>3</v>
      </c>
      <c r="H185" s="17">
        <v>2080849</v>
      </c>
      <c r="I185" s="18" t="s">
        <v>99</v>
      </c>
      <c r="J185" s="18" t="s">
        <v>77</v>
      </c>
      <c r="O185"/>
      <c r="P185"/>
      <c r="Q185"/>
    </row>
    <row r="186" spans="7:17">
      <c r="G186" s="2">
        <f t="shared" si="2"/>
        <v>3</v>
      </c>
      <c r="H186" s="17">
        <v>2101004</v>
      </c>
      <c r="I186" s="18" t="s">
        <v>99</v>
      </c>
      <c r="J186" s="18" t="s">
        <v>77</v>
      </c>
      <c r="O186"/>
      <c r="P186"/>
      <c r="Q186"/>
    </row>
    <row r="187" spans="7:17">
      <c r="G187" s="2">
        <f t="shared" si="2"/>
        <v>3</v>
      </c>
      <c r="H187" s="17">
        <v>2110413</v>
      </c>
      <c r="I187" s="18" t="s">
        <v>99</v>
      </c>
      <c r="J187" s="18" t="s">
        <v>77</v>
      </c>
      <c r="O187"/>
      <c r="P187"/>
      <c r="Q187"/>
    </row>
    <row r="188" spans="7:17">
      <c r="G188" s="2">
        <f t="shared" si="2"/>
        <v>3</v>
      </c>
      <c r="H188" s="17">
        <v>2170215</v>
      </c>
      <c r="I188" s="18" t="s">
        <v>99</v>
      </c>
      <c r="J188" s="18" t="s">
        <v>77</v>
      </c>
      <c r="O188"/>
      <c r="P188"/>
      <c r="Q188"/>
    </row>
    <row r="189" spans="7:17">
      <c r="G189" s="2">
        <f t="shared" si="2"/>
        <v>3</v>
      </c>
      <c r="H189" s="17">
        <v>2100607</v>
      </c>
      <c r="I189" s="18" t="s">
        <v>99</v>
      </c>
      <c r="J189" s="18" t="s">
        <v>77</v>
      </c>
      <c r="O189"/>
      <c r="P189"/>
      <c r="Q189"/>
    </row>
    <row r="190" spans="7:17">
      <c r="G190" s="2">
        <f t="shared" si="2"/>
        <v>3</v>
      </c>
      <c r="H190" s="17">
        <v>2250802</v>
      </c>
      <c r="I190" s="18" t="s">
        <v>99</v>
      </c>
      <c r="J190" s="18" t="s">
        <v>77</v>
      </c>
      <c r="O190"/>
      <c r="P190"/>
      <c r="Q190"/>
    </row>
    <row r="191" spans="7:17">
      <c r="G191" s="2">
        <f t="shared" si="2"/>
        <v>3</v>
      </c>
      <c r="H191" s="17">
        <v>2230503</v>
      </c>
      <c r="I191" s="18" t="s">
        <v>99</v>
      </c>
      <c r="J191" s="18" t="s">
        <v>77</v>
      </c>
      <c r="O191"/>
      <c r="P191"/>
      <c r="Q191"/>
    </row>
    <row r="192" spans="7:17">
      <c r="G192" s="2">
        <f t="shared" si="2"/>
        <v>3</v>
      </c>
      <c r="H192" s="17">
        <v>2230501</v>
      </c>
      <c r="I192" s="18" t="s">
        <v>97</v>
      </c>
      <c r="J192" s="18" t="s">
        <v>75</v>
      </c>
      <c r="O192"/>
      <c r="P192"/>
      <c r="Q192"/>
    </row>
    <row r="193" spans="7:17">
      <c r="G193" s="2">
        <f t="shared" si="2"/>
        <v>3</v>
      </c>
      <c r="H193" s="17">
        <v>2220702</v>
      </c>
      <c r="I193" s="18" t="s">
        <v>97</v>
      </c>
      <c r="J193" s="18" t="s">
        <v>75</v>
      </c>
      <c r="O193"/>
      <c r="P193"/>
      <c r="Q193"/>
    </row>
    <row r="194" spans="7:17">
      <c r="G194" s="2">
        <f t="shared" ref="G194:G257" si="3">VLOOKUP(J194,$P$2:$Q$25,2,0)</f>
        <v>3</v>
      </c>
      <c r="H194" s="17">
        <v>2250801</v>
      </c>
      <c r="I194" s="18" t="s">
        <v>99</v>
      </c>
      <c r="J194" s="18" t="s">
        <v>77</v>
      </c>
      <c r="O194"/>
      <c r="P194"/>
      <c r="Q194"/>
    </row>
    <row r="195" spans="7:17">
      <c r="G195" s="2">
        <f t="shared" si="3"/>
        <v>3</v>
      </c>
      <c r="H195" s="17">
        <v>2181003</v>
      </c>
      <c r="I195" s="18" t="s">
        <v>99</v>
      </c>
      <c r="J195" s="18" t="s">
        <v>77</v>
      </c>
      <c r="O195"/>
      <c r="P195"/>
      <c r="Q195"/>
    </row>
    <row r="196" spans="7:17">
      <c r="G196" s="2">
        <f t="shared" si="3"/>
        <v>3</v>
      </c>
      <c r="H196" s="17">
        <v>2100404</v>
      </c>
      <c r="I196" s="18" t="s">
        <v>97</v>
      </c>
      <c r="J196" s="18" t="s">
        <v>75</v>
      </c>
      <c r="O196"/>
      <c r="P196"/>
      <c r="Q196"/>
    </row>
    <row r="197" spans="7:17">
      <c r="G197" s="2">
        <f t="shared" si="3"/>
        <v>3</v>
      </c>
      <c r="H197" s="17">
        <v>2090913</v>
      </c>
      <c r="I197" s="18" t="s">
        <v>97</v>
      </c>
      <c r="J197" s="18" t="s">
        <v>75</v>
      </c>
      <c r="O197"/>
      <c r="P197"/>
      <c r="Q197"/>
    </row>
    <row r="198" spans="7:17">
      <c r="G198" s="2">
        <f t="shared" si="3"/>
        <v>3</v>
      </c>
      <c r="H198" s="17">
        <v>2150829</v>
      </c>
      <c r="I198" s="18" t="s">
        <v>99</v>
      </c>
      <c r="J198" s="18" t="s">
        <v>77</v>
      </c>
      <c r="O198"/>
      <c r="P198"/>
      <c r="Q198"/>
    </row>
    <row r="199" spans="7:17">
      <c r="G199" s="2">
        <f t="shared" si="3"/>
        <v>3</v>
      </c>
      <c r="H199" s="17">
        <v>2050807</v>
      </c>
      <c r="I199" s="18" t="s">
        <v>98</v>
      </c>
      <c r="J199" s="18" t="s">
        <v>76</v>
      </c>
      <c r="O199"/>
      <c r="P199"/>
      <c r="Q199"/>
    </row>
    <row r="200" spans="7:17">
      <c r="G200" s="2">
        <f t="shared" si="3"/>
        <v>3</v>
      </c>
      <c r="H200" s="17">
        <v>2110417</v>
      </c>
      <c r="I200" s="18" t="s">
        <v>97</v>
      </c>
      <c r="J200" s="18" t="s">
        <v>75</v>
      </c>
      <c r="O200"/>
      <c r="P200"/>
      <c r="Q200"/>
    </row>
    <row r="201" spans="7:17">
      <c r="G201" s="2">
        <f t="shared" si="3"/>
        <v>3</v>
      </c>
      <c r="H201" s="17">
        <v>2150605</v>
      </c>
      <c r="I201" s="18" t="s">
        <v>97</v>
      </c>
      <c r="J201" s="18" t="s">
        <v>75</v>
      </c>
      <c r="O201"/>
      <c r="P201"/>
      <c r="Q201"/>
    </row>
    <row r="202" spans="7:17">
      <c r="G202" s="2">
        <f t="shared" si="3"/>
        <v>3</v>
      </c>
      <c r="H202" s="17">
        <v>2251002</v>
      </c>
      <c r="I202" s="18" t="s">
        <v>97</v>
      </c>
      <c r="J202" s="18" t="s">
        <v>75</v>
      </c>
      <c r="O202"/>
      <c r="P202"/>
      <c r="Q202"/>
    </row>
    <row r="203" spans="7:17">
      <c r="G203" s="2">
        <f t="shared" si="3"/>
        <v>3</v>
      </c>
      <c r="H203" s="17">
        <v>2060827</v>
      </c>
      <c r="I203" s="18" t="s">
        <v>98</v>
      </c>
      <c r="J203" s="18" t="s">
        <v>76</v>
      </c>
      <c r="O203"/>
      <c r="P203"/>
      <c r="Q203"/>
    </row>
    <row r="204" spans="7:17">
      <c r="G204" s="2">
        <f t="shared" si="3"/>
        <v>3</v>
      </c>
      <c r="H204" s="17">
        <v>2070303</v>
      </c>
      <c r="I204" s="18" t="s">
        <v>98</v>
      </c>
      <c r="J204" s="18" t="s">
        <v>76</v>
      </c>
      <c r="O204"/>
      <c r="P204"/>
      <c r="Q204"/>
    </row>
    <row r="205" spans="7:17">
      <c r="G205" s="2">
        <f t="shared" si="3"/>
        <v>3</v>
      </c>
      <c r="H205" s="17">
        <v>2060926</v>
      </c>
      <c r="I205" s="18" t="s">
        <v>97</v>
      </c>
      <c r="J205" s="18" t="s">
        <v>75</v>
      </c>
      <c r="O205"/>
      <c r="P205"/>
      <c r="Q205"/>
    </row>
    <row r="206" spans="7:17">
      <c r="G206" s="2">
        <f t="shared" si="3"/>
        <v>3</v>
      </c>
      <c r="H206" s="17">
        <v>2120404</v>
      </c>
      <c r="I206" s="18" t="s">
        <v>98</v>
      </c>
      <c r="J206" s="18" t="s">
        <v>76</v>
      </c>
      <c r="O206"/>
      <c r="P206"/>
      <c r="Q206"/>
    </row>
    <row r="207" spans="7:17">
      <c r="G207" s="2">
        <f t="shared" si="3"/>
        <v>3</v>
      </c>
      <c r="H207" s="17">
        <v>2070407</v>
      </c>
      <c r="I207" s="18" t="s">
        <v>98</v>
      </c>
      <c r="J207" s="18" t="s">
        <v>76</v>
      </c>
      <c r="O207"/>
      <c r="P207"/>
      <c r="Q207"/>
    </row>
    <row r="208" spans="7:17">
      <c r="G208" s="2">
        <f t="shared" si="3"/>
        <v>3</v>
      </c>
      <c r="H208" s="17">
        <v>2060109</v>
      </c>
      <c r="I208" s="18" t="s">
        <v>98</v>
      </c>
      <c r="J208" s="18" t="s">
        <v>76</v>
      </c>
      <c r="O208"/>
      <c r="P208"/>
      <c r="Q208"/>
    </row>
    <row r="209" spans="7:17">
      <c r="G209" s="2">
        <f t="shared" si="3"/>
        <v>3</v>
      </c>
      <c r="H209" s="17">
        <v>2080508</v>
      </c>
      <c r="I209" s="18" t="s">
        <v>98</v>
      </c>
      <c r="J209" s="18" t="s">
        <v>76</v>
      </c>
      <c r="O209"/>
      <c r="P209"/>
      <c r="Q209"/>
    </row>
    <row r="210" spans="7:17">
      <c r="G210" s="2">
        <f t="shared" si="3"/>
        <v>3</v>
      </c>
      <c r="H210" s="17">
        <v>2050561</v>
      </c>
      <c r="I210" s="18" t="s">
        <v>98</v>
      </c>
      <c r="J210" s="18" t="s">
        <v>76</v>
      </c>
      <c r="O210"/>
      <c r="P210"/>
      <c r="Q210"/>
    </row>
    <row r="211" spans="7:17">
      <c r="G211" s="2">
        <f t="shared" si="3"/>
        <v>3</v>
      </c>
      <c r="H211" s="17">
        <v>2050527</v>
      </c>
      <c r="I211" s="18" t="s">
        <v>98</v>
      </c>
      <c r="J211" s="18" t="s">
        <v>76</v>
      </c>
      <c r="O211"/>
      <c r="P211"/>
      <c r="Q211"/>
    </row>
    <row r="212" spans="7:17">
      <c r="G212" s="2">
        <f t="shared" si="3"/>
        <v>3</v>
      </c>
      <c r="H212" s="17">
        <v>2110420</v>
      </c>
      <c r="I212" s="18" t="s">
        <v>97</v>
      </c>
      <c r="J212" s="18" t="s">
        <v>75</v>
      </c>
      <c r="O212"/>
      <c r="P212"/>
      <c r="Q212"/>
    </row>
    <row r="213" spans="7:17">
      <c r="G213" s="2">
        <f t="shared" si="3"/>
        <v>3</v>
      </c>
      <c r="H213" s="17">
        <v>2060940</v>
      </c>
      <c r="I213" s="18" t="s">
        <v>98</v>
      </c>
      <c r="J213" s="18" t="s">
        <v>76</v>
      </c>
      <c r="O213"/>
      <c r="P213"/>
      <c r="Q213"/>
    </row>
    <row r="214" spans="7:17">
      <c r="G214" s="2">
        <f t="shared" si="3"/>
        <v>3</v>
      </c>
      <c r="H214" s="17">
        <v>2060834</v>
      </c>
      <c r="I214" s="18" t="s">
        <v>98</v>
      </c>
      <c r="J214" s="18" t="s">
        <v>76</v>
      </c>
      <c r="O214"/>
      <c r="P214"/>
      <c r="Q214"/>
    </row>
    <row r="215" spans="7:17">
      <c r="G215" s="2">
        <f t="shared" si="3"/>
        <v>3</v>
      </c>
      <c r="H215" s="17">
        <v>2250803</v>
      </c>
      <c r="I215" s="18" t="s">
        <v>98</v>
      </c>
      <c r="J215" s="18" t="s">
        <v>76</v>
      </c>
      <c r="O215"/>
      <c r="P215"/>
      <c r="Q215"/>
    </row>
    <row r="216" spans="7:17">
      <c r="G216" s="2">
        <f t="shared" si="3"/>
        <v>3</v>
      </c>
      <c r="H216" s="17">
        <v>2230502</v>
      </c>
      <c r="I216" s="18" t="s">
        <v>97</v>
      </c>
      <c r="J216" s="18" t="s">
        <v>75</v>
      </c>
      <c r="O216"/>
      <c r="P216"/>
      <c r="Q216"/>
    </row>
    <row r="217" spans="7:17">
      <c r="G217" s="2">
        <f t="shared" si="3"/>
        <v>3</v>
      </c>
      <c r="H217" s="17">
        <v>2150819</v>
      </c>
      <c r="I217" s="18" t="s">
        <v>98</v>
      </c>
      <c r="J217" s="18" t="s">
        <v>76</v>
      </c>
      <c r="O217"/>
      <c r="P217"/>
      <c r="Q217"/>
    </row>
    <row r="218" spans="7:17">
      <c r="G218" s="2">
        <f t="shared" si="3"/>
        <v>3</v>
      </c>
      <c r="H218" s="17">
        <v>2050538</v>
      </c>
      <c r="I218" s="18" t="s">
        <v>97</v>
      </c>
      <c r="J218" s="18" t="s">
        <v>75</v>
      </c>
      <c r="O218"/>
      <c r="P218"/>
      <c r="Q218"/>
    </row>
    <row r="219" spans="7:17">
      <c r="G219" s="2">
        <f t="shared" si="3"/>
        <v>3</v>
      </c>
      <c r="H219" s="17">
        <v>2060828</v>
      </c>
      <c r="I219" s="18" t="s">
        <v>98</v>
      </c>
      <c r="J219" s="18" t="s">
        <v>76</v>
      </c>
      <c r="O219"/>
      <c r="P219"/>
      <c r="Q219"/>
    </row>
    <row r="220" spans="7:17">
      <c r="G220" s="2">
        <f t="shared" si="3"/>
        <v>3</v>
      </c>
      <c r="H220" s="17">
        <v>2101116</v>
      </c>
      <c r="I220" s="18" t="s">
        <v>98</v>
      </c>
      <c r="J220" s="18" t="s">
        <v>76</v>
      </c>
      <c r="O220"/>
      <c r="P220"/>
      <c r="Q220"/>
    </row>
    <row r="221" spans="7:17">
      <c r="G221" s="2">
        <f t="shared" si="3"/>
        <v>3</v>
      </c>
      <c r="H221" s="17">
        <v>2070406</v>
      </c>
      <c r="I221" s="18" t="s">
        <v>98</v>
      </c>
      <c r="J221" s="18" t="s">
        <v>76</v>
      </c>
      <c r="O221"/>
      <c r="P221"/>
      <c r="Q221"/>
    </row>
    <row r="222" spans="7:17">
      <c r="G222" s="2">
        <f t="shared" si="3"/>
        <v>3</v>
      </c>
      <c r="H222" s="17">
        <v>2090804</v>
      </c>
      <c r="I222" s="18" t="s">
        <v>97</v>
      </c>
      <c r="J222" s="18" t="s">
        <v>75</v>
      </c>
      <c r="O222"/>
      <c r="P222"/>
      <c r="Q222"/>
    </row>
    <row r="223" spans="7:17">
      <c r="G223" s="2">
        <f t="shared" si="3"/>
        <v>3</v>
      </c>
      <c r="H223" s="17">
        <v>2250804</v>
      </c>
      <c r="I223" s="18" t="s">
        <v>98</v>
      </c>
      <c r="J223" s="18" t="s">
        <v>76</v>
      </c>
      <c r="O223"/>
      <c r="P223"/>
      <c r="Q223"/>
    </row>
    <row r="224" spans="7:17">
      <c r="G224" s="2">
        <f t="shared" si="3"/>
        <v>3</v>
      </c>
      <c r="H224" s="17">
        <v>2050404</v>
      </c>
      <c r="I224" s="18" t="s">
        <v>98</v>
      </c>
      <c r="J224" s="18" t="s">
        <v>76</v>
      </c>
      <c r="O224"/>
      <c r="P224"/>
      <c r="Q224"/>
    </row>
    <row r="225" spans="7:17">
      <c r="G225" s="2">
        <f t="shared" si="3"/>
        <v>3</v>
      </c>
      <c r="H225" s="17">
        <v>2060818</v>
      </c>
      <c r="I225" s="18" t="s">
        <v>98</v>
      </c>
      <c r="J225" s="18" t="s">
        <v>76</v>
      </c>
      <c r="O225"/>
      <c r="P225"/>
      <c r="Q225"/>
    </row>
    <row r="226" spans="7:17">
      <c r="G226" s="2">
        <f t="shared" si="3"/>
        <v>3</v>
      </c>
      <c r="H226" s="17">
        <v>2080824</v>
      </c>
      <c r="I226" s="18" t="s">
        <v>100</v>
      </c>
      <c r="J226" s="18" t="s">
        <v>78</v>
      </c>
      <c r="O226"/>
      <c r="P226"/>
      <c r="Q226"/>
    </row>
    <row r="227" spans="7:17">
      <c r="G227" s="2">
        <f t="shared" si="3"/>
        <v>3</v>
      </c>
      <c r="H227" s="17">
        <v>2071011</v>
      </c>
      <c r="I227" s="18" t="s">
        <v>100</v>
      </c>
      <c r="J227" s="18" t="s">
        <v>78</v>
      </c>
      <c r="O227"/>
      <c r="P227"/>
      <c r="Q227"/>
    </row>
    <row r="228" spans="7:17">
      <c r="G228" s="2">
        <f t="shared" si="3"/>
        <v>3</v>
      </c>
      <c r="H228" s="17">
        <v>2150409</v>
      </c>
      <c r="I228" s="18" t="s">
        <v>100</v>
      </c>
      <c r="J228" s="18" t="s">
        <v>78</v>
      </c>
      <c r="O228"/>
      <c r="P228"/>
      <c r="Q228"/>
    </row>
    <row r="229" spans="7:17">
      <c r="G229" s="2">
        <f t="shared" si="3"/>
        <v>3</v>
      </c>
      <c r="H229" s="17">
        <v>2120504</v>
      </c>
      <c r="I229" s="18" t="s">
        <v>100</v>
      </c>
      <c r="J229" s="18" t="s">
        <v>78</v>
      </c>
      <c r="O229"/>
      <c r="P229"/>
      <c r="Q229"/>
    </row>
    <row r="230" spans="7:17">
      <c r="G230" s="2">
        <f t="shared" si="3"/>
        <v>3</v>
      </c>
      <c r="H230" s="17">
        <v>2150780</v>
      </c>
      <c r="I230" s="18" t="s">
        <v>100</v>
      </c>
      <c r="J230" s="18" t="s">
        <v>78</v>
      </c>
      <c r="O230"/>
      <c r="P230"/>
      <c r="Q230"/>
    </row>
    <row r="231" spans="7:17">
      <c r="G231" s="2">
        <f t="shared" si="3"/>
        <v>3</v>
      </c>
      <c r="H231" s="17">
        <v>2071105</v>
      </c>
      <c r="I231" s="18" t="s">
        <v>100</v>
      </c>
      <c r="J231" s="18" t="s">
        <v>78</v>
      </c>
      <c r="O231"/>
      <c r="P231"/>
      <c r="Q231"/>
    </row>
    <row r="232" spans="7:17">
      <c r="G232" s="2">
        <f t="shared" si="3"/>
        <v>3</v>
      </c>
      <c r="H232" s="17">
        <v>2150802</v>
      </c>
      <c r="I232" s="18" t="s">
        <v>100</v>
      </c>
      <c r="J232" s="18" t="s">
        <v>78</v>
      </c>
      <c r="O232"/>
      <c r="P232"/>
      <c r="Q232"/>
    </row>
    <row r="233" spans="7:17">
      <c r="G233" s="2">
        <f t="shared" si="3"/>
        <v>3</v>
      </c>
      <c r="H233" s="17">
        <v>2070721</v>
      </c>
      <c r="I233" s="18" t="s">
        <v>100</v>
      </c>
      <c r="J233" s="18" t="s">
        <v>78</v>
      </c>
      <c r="O233"/>
      <c r="P233"/>
      <c r="Q233"/>
    </row>
    <row r="234" spans="7:17">
      <c r="G234" s="2">
        <f t="shared" si="3"/>
        <v>3</v>
      </c>
      <c r="H234" s="17">
        <v>2150414</v>
      </c>
      <c r="I234" s="18" t="s">
        <v>100</v>
      </c>
      <c r="J234" s="18" t="s">
        <v>78</v>
      </c>
      <c r="O234"/>
      <c r="P234"/>
      <c r="Q234"/>
    </row>
    <row r="235" spans="7:17">
      <c r="G235" s="2">
        <f t="shared" si="3"/>
        <v>3</v>
      </c>
      <c r="H235" s="17">
        <v>2101203</v>
      </c>
      <c r="I235" s="18" t="s">
        <v>100</v>
      </c>
      <c r="J235" s="18" t="s">
        <v>78</v>
      </c>
      <c r="O235"/>
      <c r="P235"/>
      <c r="Q235"/>
    </row>
    <row r="236" spans="7:17">
      <c r="G236" s="2">
        <f t="shared" si="3"/>
        <v>3</v>
      </c>
      <c r="H236" s="17">
        <v>2080855</v>
      </c>
      <c r="I236" s="18" t="s">
        <v>100</v>
      </c>
      <c r="J236" s="18" t="s">
        <v>78</v>
      </c>
      <c r="O236"/>
      <c r="P236"/>
      <c r="Q236"/>
    </row>
    <row r="237" spans="7:17">
      <c r="G237" s="2">
        <f t="shared" si="3"/>
        <v>3</v>
      </c>
      <c r="H237" s="17">
        <v>2060960</v>
      </c>
      <c r="I237" s="18" t="s">
        <v>100</v>
      </c>
      <c r="J237" s="18" t="s">
        <v>78</v>
      </c>
      <c r="O237"/>
      <c r="P237"/>
      <c r="Q237"/>
    </row>
    <row r="238" spans="7:17">
      <c r="G238" s="2">
        <f t="shared" si="3"/>
        <v>3</v>
      </c>
      <c r="H238" s="17">
        <v>2070118</v>
      </c>
      <c r="I238" s="18" t="s">
        <v>100</v>
      </c>
      <c r="J238" s="18" t="s">
        <v>78</v>
      </c>
      <c r="O238"/>
      <c r="P238"/>
      <c r="Q238"/>
    </row>
    <row r="239" spans="7:17">
      <c r="G239" s="2">
        <f t="shared" si="3"/>
        <v>3</v>
      </c>
      <c r="H239" s="17">
        <v>2150795</v>
      </c>
      <c r="I239" s="18" t="s">
        <v>100</v>
      </c>
      <c r="J239" s="18" t="s">
        <v>78</v>
      </c>
      <c r="O239"/>
      <c r="P239"/>
      <c r="Q239"/>
    </row>
    <row r="240" spans="7:17">
      <c r="G240" s="2">
        <f t="shared" si="3"/>
        <v>3</v>
      </c>
      <c r="H240" s="17">
        <v>2150753</v>
      </c>
      <c r="I240" s="18" t="s">
        <v>100</v>
      </c>
      <c r="J240" s="18" t="s">
        <v>78</v>
      </c>
      <c r="O240"/>
      <c r="P240"/>
      <c r="Q240"/>
    </row>
    <row r="241" spans="7:17">
      <c r="G241" s="2">
        <f t="shared" si="3"/>
        <v>3</v>
      </c>
      <c r="H241" s="17">
        <v>2150783</v>
      </c>
      <c r="I241" s="18" t="s">
        <v>100</v>
      </c>
      <c r="J241" s="18" t="s">
        <v>78</v>
      </c>
      <c r="O241"/>
      <c r="P241"/>
      <c r="Q241"/>
    </row>
    <row r="242" spans="7:17">
      <c r="G242" s="2">
        <f t="shared" si="3"/>
        <v>3</v>
      </c>
      <c r="H242" s="17">
        <v>2071103</v>
      </c>
      <c r="I242" s="18" t="s">
        <v>100</v>
      </c>
      <c r="J242" s="18" t="s">
        <v>78</v>
      </c>
      <c r="O242"/>
      <c r="P242"/>
      <c r="Q242"/>
    </row>
    <row r="243" spans="7:17">
      <c r="G243" s="2">
        <f t="shared" si="3"/>
        <v>3</v>
      </c>
      <c r="H243" s="17">
        <v>2071005</v>
      </c>
      <c r="I243" s="18" t="s">
        <v>100</v>
      </c>
      <c r="J243" s="18" t="s">
        <v>78</v>
      </c>
      <c r="O243"/>
      <c r="P243"/>
      <c r="Q243"/>
    </row>
    <row r="244" spans="7:17">
      <c r="G244" s="2">
        <f t="shared" si="3"/>
        <v>3</v>
      </c>
      <c r="H244" s="17">
        <v>2150758</v>
      </c>
      <c r="I244" s="18" t="s">
        <v>100</v>
      </c>
      <c r="J244" s="18" t="s">
        <v>78</v>
      </c>
      <c r="O244"/>
      <c r="P244"/>
      <c r="Q244"/>
    </row>
    <row r="245" spans="7:17">
      <c r="G245" s="2">
        <f t="shared" si="3"/>
        <v>3</v>
      </c>
      <c r="H245" s="17">
        <v>2070840</v>
      </c>
      <c r="I245" s="18" t="s">
        <v>100</v>
      </c>
      <c r="J245" s="18" t="s">
        <v>78</v>
      </c>
      <c r="O245"/>
      <c r="P245"/>
      <c r="Q245"/>
    </row>
    <row r="246" spans="7:17">
      <c r="G246" s="2">
        <f t="shared" si="3"/>
        <v>3</v>
      </c>
      <c r="H246" s="17">
        <v>2101010</v>
      </c>
      <c r="I246" s="18" t="s">
        <v>100</v>
      </c>
      <c r="J246" s="18" t="s">
        <v>78</v>
      </c>
      <c r="O246"/>
      <c r="P246"/>
      <c r="Q246"/>
    </row>
    <row r="247" spans="7:17">
      <c r="G247" s="2">
        <f t="shared" si="3"/>
        <v>3</v>
      </c>
      <c r="H247" s="17">
        <v>2080844</v>
      </c>
      <c r="I247" s="18" t="s">
        <v>100</v>
      </c>
      <c r="J247" s="18" t="s">
        <v>78</v>
      </c>
      <c r="O247"/>
      <c r="P247"/>
      <c r="Q247"/>
    </row>
    <row r="248" spans="7:17">
      <c r="G248" s="2">
        <f t="shared" si="3"/>
        <v>3</v>
      </c>
      <c r="H248" s="17">
        <v>2150775</v>
      </c>
      <c r="I248" s="18" t="s">
        <v>100</v>
      </c>
      <c r="J248" s="18" t="s">
        <v>78</v>
      </c>
      <c r="O248"/>
      <c r="P248"/>
      <c r="Q248"/>
    </row>
    <row r="249" spans="7:17">
      <c r="G249" s="2">
        <f t="shared" si="3"/>
        <v>3</v>
      </c>
      <c r="H249" s="17">
        <v>2070120</v>
      </c>
      <c r="I249" s="18" t="s">
        <v>100</v>
      </c>
      <c r="J249" s="18" t="s">
        <v>78</v>
      </c>
      <c r="O249"/>
      <c r="P249"/>
      <c r="Q249"/>
    </row>
    <row r="250" spans="7:17">
      <c r="G250" s="2">
        <f t="shared" si="3"/>
        <v>3</v>
      </c>
      <c r="H250" s="17">
        <v>2240403</v>
      </c>
      <c r="I250" s="18" t="s">
        <v>100</v>
      </c>
      <c r="J250" s="18" t="s">
        <v>78</v>
      </c>
      <c r="O250"/>
      <c r="P250"/>
      <c r="Q250"/>
    </row>
    <row r="251" spans="7:17">
      <c r="G251" s="2">
        <f t="shared" si="3"/>
        <v>3</v>
      </c>
      <c r="H251" s="17">
        <v>2150823</v>
      </c>
      <c r="I251" s="18" t="s">
        <v>100</v>
      </c>
      <c r="J251" s="18" t="s">
        <v>78</v>
      </c>
      <c r="O251"/>
      <c r="P251"/>
      <c r="Q251"/>
    </row>
    <row r="252" spans="7:17">
      <c r="G252" s="2">
        <f t="shared" si="3"/>
        <v>3</v>
      </c>
      <c r="H252" s="17">
        <v>2061012</v>
      </c>
      <c r="I252" s="18" t="s">
        <v>101</v>
      </c>
      <c r="J252" s="18" t="s">
        <v>79</v>
      </c>
      <c r="O252"/>
      <c r="P252"/>
      <c r="Q252"/>
    </row>
    <row r="253" spans="7:17">
      <c r="G253" s="2">
        <f t="shared" si="3"/>
        <v>3</v>
      </c>
      <c r="H253" s="17">
        <v>2080821</v>
      </c>
      <c r="I253" s="18" t="s">
        <v>101</v>
      </c>
      <c r="J253" s="18" t="s">
        <v>79</v>
      </c>
      <c r="O253"/>
      <c r="P253"/>
      <c r="Q253"/>
    </row>
    <row r="254" spans="7:17">
      <c r="G254" s="2">
        <f t="shared" si="3"/>
        <v>3</v>
      </c>
      <c r="H254" s="17">
        <v>2070819</v>
      </c>
      <c r="I254" s="18" t="s">
        <v>101</v>
      </c>
      <c r="J254" s="18" t="s">
        <v>79</v>
      </c>
      <c r="O254"/>
      <c r="P254"/>
      <c r="Q254"/>
    </row>
    <row r="255" spans="7:17">
      <c r="G255" s="2">
        <f t="shared" si="3"/>
        <v>3</v>
      </c>
      <c r="H255" s="17">
        <v>2070855</v>
      </c>
      <c r="I255" s="18" t="s">
        <v>101</v>
      </c>
      <c r="J255" s="18" t="s">
        <v>79</v>
      </c>
      <c r="O255"/>
      <c r="P255"/>
      <c r="Q255"/>
    </row>
    <row r="256" spans="7:17">
      <c r="G256" s="2">
        <f t="shared" si="3"/>
        <v>3</v>
      </c>
      <c r="H256" s="17">
        <v>2080522</v>
      </c>
      <c r="I256" s="18" t="s">
        <v>101</v>
      </c>
      <c r="J256" s="18" t="s">
        <v>79</v>
      </c>
      <c r="O256"/>
      <c r="P256"/>
      <c r="Q256"/>
    </row>
    <row r="257" spans="7:17">
      <c r="G257" s="2">
        <f t="shared" si="3"/>
        <v>3</v>
      </c>
      <c r="H257" s="17">
        <v>2070837</v>
      </c>
      <c r="I257" s="18" t="s">
        <v>101</v>
      </c>
      <c r="J257" s="18" t="s">
        <v>79</v>
      </c>
      <c r="O257"/>
      <c r="P257"/>
      <c r="Q257"/>
    </row>
    <row r="258" spans="7:17">
      <c r="G258" s="2">
        <f t="shared" ref="G258:G321" si="4">VLOOKUP(J258,$P$2:$Q$25,2,0)</f>
        <v>3</v>
      </c>
      <c r="H258" s="17">
        <v>2070726</v>
      </c>
      <c r="I258" s="18" t="s">
        <v>101</v>
      </c>
      <c r="J258" s="18" t="s">
        <v>79</v>
      </c>
      <c r="O258"/>
      <c r="P258"/>
      <c r="Q258"/>
    </row>
    <row r="259" spans="7:17">
      <c r="G259" s="2">
        <f t="shared" si="4"/>
        <v>3</v>
      </c>
      <c r="H259" s="17">
        <v>2070103</v>
      </c>
      <c r="I259" s="18" t="s">
        <v>101</v>
      </c>
      <c r="J259" s="18" t="s">
        <v>79</v>
      </c>
      <c r="O259"/>
      <c r="P259"/>
      <c r="Q259"/>
    </row>
    <row r="260" spans="7:17">
      <c r="G260" s="2">
        <f t="shared" si="4"/>
        <v>3</v>
      </c>
      <c r="H260" s="17">
        <v>2070858</v>
      </c>
      <c r="I260" s="18" t="s">
        <v>101</v>
      </c>
      <c r="J260" s="18" t="s">
        <v>79</v>
      </c>
      <c r="O260"/>
      <c r="P260"/>
      <c r="Q260"/>
    </row>
    <row r="261" spans="7:17">
      <c r="G261" s="2">
        <f t="shared" si="4"/>
        <v>3</v>
      </c>
      <c r="H261" s="17">
        <v>2050574</v>
      </c>
      <c r="I261" s="18" t="s">
        <v>101</v>
      </c>
      <c r="J261" s="18" t="s">
        <v>79</v>
      </c>
      <c r="O261"/>
      <c r="P261"/>
      <c r="Q261"/>
    </row>
    <row r="262" spans="7:17">
      <c r="G262" s="2">
        <f t="shared" si="4"/>
        <v>3</v>
      </c>
      <c r="H262" s="17">
        <v>2090507</v>
      </c>
      <c r="I262" s="18" t="s">
        <v>101</v>
      </c>
      <c r="J262" s="18" t="s">
        <v>79</v>
      </c>
      <c r="O262"/>
      <c r="P262"/>
      <c r="Q262"/>
    </row>
    <row r="263" spans="7:17">
      <c r="G263" s="2">
        <f t="shared" si="4"/>
        <v>3</v>
      </c>
      <c r="H263" s="17">
        <v>2120403</v>
      </c>
      <c r="I263" s="18" t="s">
        <v>101</v>
      </c>
      <c r="J263" s="18" t="s">
        <v>79</v>
      </c>
      <c r="O263"/>
      <c r="P263"/>
      <c r="Q263"/>
    </row>
    <row r="264" spans="7:17">
      <c r="G264" s="2">
        <f t="shared" si="4"/>
        <v>3</v>
      </c>
      <c r="H264" s="17">
        <v>2050559</v>
      </c>
      <c r="I264" s="18" t="s">
        <v>101</v>
      </c>
      <c r="J264" s="18" t="s">
        <v>79</v>
      </c>
      <c r="O264"/>
      <c r="P264"/>
      <c r="Q264"/>
    </row>
    <row r="265" spans="7:17">
      <c r="G265" s="2">
        <f t="shared" si="4"/>
        <v>3</v>
      </c>
      <c r="H265" s="17">
        <v>2120505</v>
      </c>
      <c r="I265" s="18" t="s">
        <v>101</v>
      </c>
      <c r="J265" s="18" t="s">
        <v>79</v>
      </c>
      <c r="O265"/>
      <c r="P265"/>
      <c r="Q265"/>
    </row>
    <row r="266" spans="7:17">
      <c r="G266" s="2">
        <f t="shared" si="4"/>
        <v>3</v>
      </c>
      <c r="H266" s="17">
        <v>2080531</v>
      </c>
      <c r="I266" s="18" t="s">
        <v>101</v>
      </c>
      <c r="J266" s="18" t="s">
        <v>79</v>
      </c>
      <c r="O266"/>
      <c r="P266"/>
      <c r="Q266"/>
    </row>
    <row r="267" spans="7:17">
      <c r="G267" s="2">
        <f t="shared" si="4"/>
        <v>3</v>
      </c>
      <c r="H267" s="17">
        <v>2150786</v>
      </c>
      <c r="I267" s="18" t="s">
        <v>101</v>
      </c>
      <c r="J267" s="18" t="s">
        <v>79</v>
      </c>
      <c r="O267"/>
      <c r="P267"/>
      <c r="Q267"/>
    </row>
    <row r="268" spans="7:17">
      <c r="G268" s="2">
        <f t="shared" si="4"/>
        <v>3</v>
      </c>
      <c r="H268" s="17">
        <v>2070850</v>
      </c>
      <c r="I268" s="18" t="s">
        <v>101</v>
      </c>
      <c r="J268" s="18" t="s">
        <v>79</v>
      </c>
      <c r="O268"/>
      <c r="P268"/>
      <c r="Q268"/>
    </row>
    <row r="269" spans="7:17">
      <c r="G269" s="2">
        <f t="shared" si="4"/>
        <v>3</v>
      </c>
      <c r="H269" s="17">
        <v>2080838</v>
      </c>
      <c r="I269" s="18" t="s">
        <v>101</v>
      </c>
      <c r="J269" s="18" t="s">
        <v>79</v>
      </c>
      <c r="O269"/>
      <c r="P269"/>
      <c r="Q269"/>
    </row>
    <row r="270" spans="7:17">
      <c r="G270" s="2">
        <f t="shared" si="4"/>
        <v>3</v>
      </c>
      <c r="H270" s="17">
        <v>2150902</v>
      </c>
      <c r="I270" s="18" t="s">
        <v>101</v>
      </c>
      <c r="J270" s="18" t="s">
        <v>79</v>
      </c>
      <c r="O270"/>
      <c r="P270"/>
      <c r="Q270"/>
    </row>
    <row r="271" spans="7:17">
      <c r="G271" s="2">
        <f t="shared" si="4"/>
        <v>3</v>
      </c>
      <c r="H271" s="17">
        <v>2061014</v>
      </c>
      <c r="I271" s="18" t="s">
        <v>101</v>
      </c>
      <c r="J271" s="18" t="s">
        <v>79</v>
      </c>
      <c r="O271"/>
      <c r="P271"/>
      <c r="Q271"/>
    </row>
    <row r="272" spans="7:17">
      <c r="G272" s="2">
        <f t="shared" si="4"/>
        <v>3</v>
      </c>
      <c r="H272" s="17">
        <v>2071012</v>
      </c>
      <c r="I272" s="18" t="s">
        <v>101</v>
      </c>
      <c r="J272" s="18" t="s">
        <v>79</v>
      </c>
      <c r="O272"/>
      <c r="P272"/>
      <c r="Q272"/>
    </row>
    <row r="273" spans="7:17">
      <c r="G273" s="2">
        <f t="shared" si="4"/>
        <v>3</v>
      </c>
      <c r="H273" s="17">
        <v>2061022</v>
      </c>
      <c r="I273" s="18" t="s">
        <v>101</v>
      </c>
      <c r="J273" s="18" t="s">
        <v>79</v>
      </c>
      <c r="O273"/>
      <c r="P273"/>
      <c r="Q273"/>
    </row>
    <row r="274" spans="7:17">
      <c r="G274" s="2">
        <f t="shared" si="4"/>
        <v>3</v>
      </c>
      <c r="H274" s="17">
        <v>2150809</v>
      </c>
      <c r="I274" s="18" t="s">
        <v>101</v>
      </c>
      <c r="J274" s="18" t="s">
        <v>79</v>
      </c>
      <c r="O274"/>
      <c r="P274"/>
      <c r="Q274"/>
    </row>
    <row r="275" spans="7:17">
      <c r="G275" s="2">
        <f t="shared" si="4"/>
        <v>3</v>
      </c>
      <c r="H275" s="17">
        <v>2061024</v>
      </c>
      <c r="I275" s="18" t="s">
        <v>101</v>
      </c>
      <c r="J275" s="18" t="s">
        <v>79</v>
      </c>
      <c r="O275"/>
      <c r="P275"/>
      <c r="Q275"/>
    </row>
    <row r="276" spans="7:17">
      <c r="G276" s="2">
        <f t="shared" si="4"/>
        <v>3</v>
      </c>
      <c r="H276" s="17">
        <v>2070830</v>
      </c>
      <c r="I276" s="18" t="s">
        <v>101</v>
      </c>
      <c r="J276" s="18" t="s">
        <v>79</v>
      </c>
      <c r="O276"/>
      <c r="P276"/>
      <c r="Q276"/>
    </row>
    <row r="277" spans="7:17">
      <c r="G277" s="2">
        <f t="shared" si="4"/>
        <v>3</v>
      </c>
      <c r="H277" s="17">
        <v>2091203</v>
      </c>
      <c r="I277" s="18" t="s">
        <v>101</v>
      </c>
      <c r="J277" s="18" t="s">
        <v>79</v>
      </c>
      <c r="O277"/>
      <c r="P277"/>
      <c r="Q277"/>
    </row>
    <row r="278" spans="7:17">
      <c r="G278" s="2">
        <f t="shared" si="4"/>
        <v>3</v>
      </c>
      <c r="H278" s="17">
        <v>2231101</v>
      </c>
      <c r="I278" s="18" t="s">
        <v>101</v>
      </c>
      <c r="J278" s="18" t="s">
        <v>79</v>
      </c>
      <c r="O278"/>
      <c r="P278"/>
      <c r="Q278"/>
    </row>
    <row r="279" spans="7:17">
      <c r="G279" s="2">
        <f t="shared" si="4"/>
        <v>3</v>
      </c>
      <c r="H279" s="17">
        <v>2080504</v>
      </c>
      <c r="I279" s="18" t="s">
        <v>101</v>
      </c>
      <c r="J279" s="18" t="s">
        <v>79</v>
      </c>
      <c r="O279"/>
      <c r="P279"/>
      <c r="Q279"/>
    </row>
    <row r="280" spans="7:17">
      <c r="G280" s="2">
        <f t="shared" si="4"/>
        <v>3</v>
      </c>
      <c r="H280" s="17">
        <v>2150832</v>
      </c>
      <c r="I280" s="18" t="s">
        <v>101</v>
      </c>
      <c r="J280" s="18" t="s">
        <v>79</v>
      </c>
      <c r="O280"/>
      <c r="P280"/>
      <c r="Q280"/>
    </row>
    <row r="281" spans="7:17">
      <c r="G281" s="2">
        <f t="shared" si="4"/>
        <v>3</v>
      </c>
      <c r="H281" s="17">
        <v>2080604</v>
      </c>
      <c r="I281" s="18" t="s">
        <v>101</v>
      </c>
      <c r="J281" s="18" t="s">
        <v>79</v>
      </c>
      <c r="O281"/>
      <c r="P281"/>
      <c r="Q281"/>
    </row>
    <row r="282" spans="7:17">
      <c r="G282" s="2">
        <f t="shared" si="4"/>
        <v>3</v>
      </c>
      <c r="H282" s="17">
        <v>2061210</v>
      </c>
      <c r="I282" s="18" t="s">
        <v>102</v>
      </c>
      <c r="J282" s="18" t="s">
        <v>80</v>
      </c>
      <c r="O282"/>
      <c r="P282"/>
      <c r="Q282"/>
    </row>
    <row r="283" spans="7:17">
      <c r="G283" s="2">
        <f t="shared" si="4"/>
        <v>3</v>
      </c>
      <c r="H283" s="17">
        <v>2060961</v>
      </c>
      <c r="I283" s="18" t="s">
        <v>102</v>
      </c>
      <c r="J283" s="18" t="s">
        <v>80</v>
      </c>
      <c r="O283"/>
      <c r="P283"/>
      <c r="Q283"/>
    </row>
    <row r="284" spans="7:17">
      <c r="G284" s="2">
        <f t="shared" si="4"/>
        <v>3</v>
      </c>
      <c r="H284" s="17">
        <v>2150412</v>
      </c>
      <c r="I284" s="18" t="s">
        <v>102</v>
      </c>
      <c r="J284" s="18" t="s">
        <v>80</v>
      </c>
      <c r="O284"/>
      <c r="P284"/>
      <c r="Q284"/>
    </row>
    <row r="285" spans="7:17">
      <c r="G285" s="2">
        <f t="shared" si="4"/>
        <v>3</v>
      </c>
      <c r="H285" s="17">
        <v>2060957</v>
      </c>
      <c r="I285" s="18" t="s">
        <v>102</v>
      </c>
      <c r="J285" s="18" t="s">
        <v>80</v>
      </c>
      <c r="O285"/>
      <c r="P285"/>
      <c r="Q285"/>
    </row>
    <row r="286" spans="7:17">
      <c r="G286" s="2">
        <f t="shared" si="4"/>
        <v>3</v>
      </c>
      <c r="H286" s="17">
        <v>2050554</v>
      </c>
      <c r="I286" s="18" t="s">
        <v>102</v>
      </c>
      <c r="J286" s="18" t="s">
        <v>80</v>
      </c>
      <c r="O286"/>
      <c r="P286"/>
      <c r="Q286"/>
    </row>
    <row r="287" spans="7:17">
      <c r="G287" s="2">
        <f t="shared" si="4"/>
        <v>3</v>
      </c>
      <c r="H287" s="17">
        <v>2080801</v>
      </c>
      <c r="I287" s="18" t="s">
        <v>102</v>
      </c>
      <c r="J287" s="18" t="s">
        <v>80</v>
      </c>
      <c r="O287"/>
      <c r="P287"/>
      <c r="Q287"/>
    </row>
    <row r="288" spans="7:17">
      <c r="G288" s="2">
        <f t="shared" si="4"/>
        <v>3</v>
      </c>
      <c r="H288" s="17">
        <v>2060107</v>
      </c>
      <c r="I288" s="18" t="s">
        <v>102</v>
      </c>
      <c r="J288" s="18" t="s">
        <v>80</v>
      </c>
      <c r="O288"/>
      <c r="P288"/>
      <c r="Q288"/>
    </row>
    <row r="289" spans="7:17">
      <c r="G289" s="2">
        <f t="shared" si="4"/>
        <v>3</v>
      </c>
      <c r="H289" s="17">
        <v>2080528</v>
      </c>
      <c r="I289" s="18" t="s">
        <v>102</v>
      </c>
      <c r="J289" s="18" t="s">
        <v>80</v>
      </c>
      <c r="O289"/>
      <c r="P289"/>
      <c r="Q289"/>
    </row>
    <row r="290" spans="7:17">
      <c r="G290" s="2">
        <f t="shared" si="4"/>
        <v>3</v>
      </c>
      <c r="H290" s="17">
        <v>2080853</v>
      </c>
      <c r="I290" s="18" t="s">
        <v>102</v>
      </c>
      <c r="J290" s="18" t="s">
        <v>80</v>
      </c>
      <c r="O290"/>
      <c r="P290"/>
      <c r="Q290"/>
    </row>
    <row r="291" spans="7:17">
      <c r="G291" s="2">
        <f t="shared" si="4"/>
        <v>3</v>
      </c>
      <c r="H291" s="17">
        <v>2150604</v>
      </c>
      <c r="I291" s="18" t="s">
        <v>102</v>
      </c>
      <c r="J291" s="18" t="s">
        <v>80</v>
      </c>
      <c r="O291"/>
      <c r="P291"/>
      <c r="Q291"/>
    </row>
    <row r="292" spans="7:17">
      <c r="G292" s="2">
        <f t="shared" si="4"/>
        <v>3</v>
      </c>
      <c r="H292" s="17">
        <v>2071102</v>
      </c>
      <c r="I292" s="18" t="s">
        <v>102</v>
      </c>
      <c r="J292" s="18" t="s">
        <v>80</v>
      </c>
      <c r="O292"/>
      <c r="P292"/>
      <c r="Q292"/>
    </row>
    <row r="293" spans="7:17">
      <c r="G293" s="2">
        <f t="shared" si="4"/>
        <v>3</v>
      </c>
      <c r="H293" s="17">
        <v>2060951</v>
      </c>
      <c r="I293" s="18" t="s">
        <v>102</v>
      </c>
      <c r="J293" s="18" t="s">
        <v>80</v>
      </c>
      <c r="O293"/>
      <c r="P293"/>
      <c r="Q293"/>
    </row>
    <row r="294" spans="7:17">
      <c r="G294" s="2">
        <f t="shared" si="4"/>
        <v>3</v>
      </c>
      <c r="H294" s="17">
        <v>2150716</v>
      </c>
      <c r="I294" s="18" t="s">
        <v>102</v>
      </c>
      <c r="J294" s="18" t="s">
        <v>80</v>
      </c>
      <c r="O294"/>
      <c r="P294"/>
      <c r="Q294"/>
    </row>
    <row r="295" spans="7:17">
      <c r="G295" s="2">
        <f t="shared" si="4"/>
        <v>3</v>
      </c>
      <c r="H295" s="17">
        <v>2070629</v>
      </c>
      <c r="I295" s="18" t="s">
        <v>102</v>
      </c>
      <c r="J295" s="18" t="s">
        <v>80</v>
      </c>
      <c r="O295"/>
      <c r="P295"/>
      <c r="Q295"/>
    </row>
    <row r="296" spans="7:17">
      <c r="G296" s="2">
        <f t="shared" si="4"/>
        <v>3</v>
      </c>
      <c r="H296" s="17">
        <v>2080835</v>
      </c>
      <c r="I296" s="18" t="s">
        <v>102</v>
      </c>
      <c r="J296" s="18" t="s">
        <v>80</v>
      </c>
      <c r="O296"/>
      <c r="P296"/>
      <c r="Q296"/>
    </row>
    <row r="297" spans="7:17">
      <c r="G297" s="2">
        <f t="shared" si="4"/>
        <v>3</v>
      </c>
      <c r="H297" s="17">
        <v>2050512</v>
      </c>
      <c r="I297" s="18" t="s">
        <v>102</v>
      </c>
      <c r="J297" s="18" t="s">
        <v>80</v>
      </c>
      <c r="O297"/>
      <c r="P297"/>
      <c r="Q297"/>
    </row>
    <row r="298" spans="7:17">
      <c r="G298" s="2">
        <f t="shared" si="4"/>
        <v>3</v>
      </c>
      <c r="H298" s="17">
        <v>2150720</v>
      </c>
      <c r="I298" s="18" t="s">
        <v>102</v>
      </c>
      <c r="J298" s="18" t="s">
        <v>80</v>
      </c>
      <c r="O298"/>
      <c r="P298"/>
      <c r="Q298"/>
    </row>
    <row r="299" spans="7:17">
      <c r="G299" s="2">
        <f t="shared" si="4"/>
        <v>3</v>
      </c>
      <c r="H299" s="17">
        <v>2100808</v>
      </c>
      <c r="I299" s="18" t="s">
        <v>102</v>
      </c>
      <c r="J299" s="18" t="s">
        <v>80</v>
      </c>
      <c r="O299"/>
      <c r="P299"/>
      <c r="Q299"/>
    </row>
    <row r="300" spans="7:17">
      <c r="G300" s="2">
        <f t="shared" si="4"/>
        <v>3</v>
      </c>
      <c r="H300" s="17">
        <v>2150787</v>
      </c>
      <c r="I300" s="18" t="s">
        <v>102</v>
      </c>
      <c r="J300" s="18" t="s">
        <v>80</v>
      </c>
      <c r="O300"/>
      <c r="P300"/>
      <c r="Q300"/>
    </row>
    <row r="301" spans="7:17">
      <c r="G301" s="2">
        <f t="shared" si="4"/>
        <v>3</v>
      </c>
      <c r="H301" s="17">
        <v>2050535</v>
      </c>
      <c r="I301" s="18" t="s">
        <v>102</v>
      </c>
      <c r="J301" s="18" t="s">
        <v>80</v>
      </c>
      <c r="O301"/>
      <c r="P301"/>
      <c r="Q301"/>
    </row>
    <row r="302" spans="7:17">
      <c r="G302" s="2">
        <f t="shared" si="4"/>
        <v>3</v>
      </c>
      <c r="H302" s="17">
        <v>2050563</v>
      </c>
      <c r="I302" s="18" t="s">
        <v>102</v>
      </c>
      <c r="J302" s="18" t="s">
        <v>80</v>
      </c>
      <c r="O302"/>
      <c r="P302"/>
      <c r="Q302"/>
    </row>
    <row r="303" spans="7:17">
      <c r="G303" s="2">
        <f t="shared" si="4"/>
        <v>3</v>
      </c>
      <c r="H303" s="17">
        <v>2071003</v>
      </c>
      <c r="I303" s="18" t="s">
        <v>102</v>
      </c>
      <c r="J303" s="18" t="s">
        <v>80</v>
      </c>
      <c r="O303"/>
      <c r="P303"/>
      <c r="Q303"/>
    </row>
    <row r="304" spans="7:17">
      <c r="G304" s="2">
        <f t="shared" si="4"/>
        <v>3</v>
      </c>
      <c r="H304" s="17">
        <v>2150771</v>
      </c>
      <c r="I304" s="18" t="s">
        <v>102</v>
      </c>
      <c r="J304" s="18" t="s">
        <v>80</v>
      </c>
      <c r="O304"/>
      <c r="P304"/>
      <c r="Q304"/>
    </row>
    <row r="305" spans="7:17">
      <c r="G305" s="2">
        <f t="shared" si="4"/>
        <v>3</v>
      </c>
      <c r="H305" s="17">
        <v>2110214</v>
      </c>
      <c r="I305" s="18" t="s">
        <v>102</v>
      </c>
      <c r="J305" s="18" t="s">
        <v>80</v>
      </c>
      <c r="O305"/>
      <c r="P305"/>
      <c r="Q305"/>
    </row>
    <row r="306" spans="7:17">
      <c r="G306" s="2">
        <f t="shared" si="4"/>
        <v>3</v>
      </c>
      <c r="H306" s="17">
        <v>2091109</v>
      </c>
      <c r="I306" s="18" t="s">
        <v>102</v>
      </c>
      <c r="J306" s="18" t="s">
        <v>80</v>
      </c>
      <c r="O306"/>
      <c r="P306"/>
      <c r="Q306"/>
    </row>
    <row r="307" spans="7:17">
      <c r="G307" s="2">
        <f t="shared" si="4"/>
        <v>3</v>
      </c>
      <c r="H307" s="17">
        <v>2150904</v>
      </c>
      <c r="I307" s="18" t="s">
        <v>102</v>
      </c>
      <c r="J307" s="18" t="s">
        <v>80</v>
      </c>
      <c r="O307"/>
      <c r="P307"/>
      <c r="Q307"/>
    </row>
    <row r="308" spans="7:17">
      <c r="G308" s="2">
        <f t="shared" si="4"/>
        <v>3</v>
      </c>
      <c r="H308" s="17">
        <v>2250703</v>
      </c>
      <c r="I308" s="18" t="s">
        <v>102</v>
      </c>
      <c r="J308" s="18" t="s">
        <v>80</v>
      </c>
      <c r="O308"/>
      <c r="P308"/>
      <c r="Q308"/>
    </row>
    <row r="309" spans="7:17">
      <c r="G309" s="2">
        <f t="shared" si="4"/>
        <v>3</v>
      </c>
      <c r="H309" s="17">
        <v>2080907</v>
      </c>
      <c r="I309" s="18" t="s">
        <v>102</v>
      </c>
      <c r="J309" s="18" t="s">
        <v>80</v>
      </c>
      <c r="O309"/>
      <c r="P309"/>
      <c r="Q309"/>
    </row>
    <row r="310" spans="7:17">
      <c r="G310" s="2">
        <f t="shared" si="4"/>
        <v>3</v>
      </c>
      <c r="H310" s="17">
        <v>2070832</v>
      </c>
      <c r="I310" s="18" t="s">
        <v>102</v>
      </c>
      <c r="J310" s="18" t="s">
        <v>80</v>
      </c>
      <c r="O310"/>
      <c r="P310"/>
      <c r="Q310"/>
    </row>
    <row r="311" spans="7:17">
      <c r="G311" s="2">
        <f t="shared" si="4"/>
        <v>3</v>
      </c>
      <c r="H311" s="17">
        <v>2061207</v>
      </c>
      <c r="I311" s="18" t="s">
        <v>97</v>
      </c>
      <c r="J311" s="18" t="s">
        <v>75</v>
      </c>
      <c r="O311"/>
      <c r="P311"/>
      <c r="Q311"/>
    </row>
    <row r="312" spans="7:17">
      <c r="G312" s="2">
        <f t="shared" si="4"/>
        <v>3</v>
      </c>
      <c r="H312" s="17">
        <v>2061016</v>
      </c>
      <c r="I312" s="18" t="s">
        <v>97</v>
      </c>
      <c r="J312" s="18" t="s">
        <v>75</v>
      </c>
      <c r="O312"/>
      <c r="P312"/>
      <c r="Q312"/>
    </row>
    <row r="313" spans="7:17">
      <c r="G313" s="2">
        <f t="shared" si="4"/>
        <v>3</v>
      </c>
      <c r="H313" s="17">
        <v>2070831</v>
      </c>
      <c r="I313" s="18" t="s">
        <v>97</v>
      </c>
      <c r="J313" s="18" t="s">
        <v>75</v>
      </c>
      <c r="O313"/>
      <c r="P313"/>
      <c r="Q313"/>
    </row>
    <row r="314" spans="7:17">
      <c r="G314" s="2">
        <f t="shared" si="4"/>
        <v>3</v>
      </c>
      <c r="H314" s="17">
        <v>2140602</v>
      </c>
      <c r="I314" s="18" t="s">
        <v>97</v>
      </c>
      <c r="J314" s="18" t="s">
        <v>75</v>
      </c>
      <c r="O314"/>
      <c r="P314"/>
      <c r="Q314"/>
    </row>
    <row r="315" spans="7:17">
      <c r="G315" s="2">
        <f t="shared" si="4"/>
        <v>3</v>
      </c>
      <c r="H315" s="17">
        <v>2070641</v>
      </c>
      <c r="I315" s="18" t="s">
        <v>97</v>
      </c>
      <c r="J315" s="18" t="s">
        <v>75</v>
      </c>
      <c r="O315"/>
      <c r="P315"/>
      <c r="Q315"/>
    </row>
    <row r="316" spans="7:17">
      <c r="G316" s="2">
        <f t="shared" si="4"/>
        <v>3</v>
      </c>
      <c r="H316" s="17">
        <v>2110210</v>
      </c>
      <c r="I316" s="18" t="s">
        <v>97</v>
      </c>
      <c r="J316" s="18" t="s">
        <v>75</v>
      </c>
      <c r="O316"/>
      <c r="P316"/>
      <c r="Q316"/>
    </row>
    <row r="317" spans="7:17">
      <c r="G317" s="2">
        <f t="shared" si="4"/>
        <v>3</v>
      </c>
      <c r="H317" s="17">
        <v>2150748</v>
      </c>
      <c r="I317" s="18" t="s">
        <v>97</v>
      </c>
      <c r="J317" s="18" t="s">
        <v>75</v>
      </c>
      <c r="O317"/>
      <c r="P317"/>
      <c r="Q317"/>
    </row>
    <row r="318" spans="7:17">
      <c r="G318" s="2">
        <f t="shared" si="4"/>
        <v>3</v>
      </c>
      <c r="H318" s="17">
        <v>2150606</v>
      </c>
      <c r="I318" s="18" t="s">
        <v>97</v>
      </c>
      <c r="J318" s="18" t="s">
        <v>75</v>
      </c>
      <c r="O318"/>
      <c r="P318"/>
      <c r="Q318"/>
    </row>
    <row r="319" spans="7:17">
      <c r="G319" s="2">
        <f t="shared" si="4"/>
        <v>3</v>
      </c>
      <c r="H319" s="17">
        <v>2061013</v>
      </c>
      <c r="I319" s="18" t="s">
        <v>97</v>
      </c>
      <c r="J319" s="18" t="s">
        <v>75</v>
      </c>
      <c r="O319"/>
      <c r="P319"/>
      <c r="Q319"/>
    </row>
    <row r="320" spans="7:17">
      <c r="G320" s="2">
        <f t="shared" si="4"/>
        <v>3</v>
      </c>
      <c r="H320" s="17">
        <v>2061026</v>
      </c>
      <c r="I320" s="18" t="s">
        <v>97</v>
      </c>
      <c r="J320" s="18" t="s">
        <v>75</v>
      </c>
      <c r="O320"/>
      <c r="P320"/>
      <c r="Q320"/>
    </row>
    <row r="321" spans="7:17">
      <c r="G321" s="2">
        <f t="shared" si="4"/>
        <v>3</v>
      </c>
      <c r="H321" s="17">
        <v>2131101</v>
      </c>
      <c r="I321" s="18" t="s">
        <v>97</v>
      </c>
      <c r="J321" s="18" t="s">
        <v>75</v>
      </c>
      <c r="O321"/>
      <c r="P321"/>
      <c r="Q321"/>
    </row>
    <row r="322" spans="7:17">
      <c r="G322" s="2">
        <f t="shared" ref="G322:G385" si="5">VLOOKUP(J322,$P$2:$Q$25,2,0)</f>
        <v>3</v>
      </c>
      <c r="H322" s="17">
        <v>2070829</v>
      </c>
      <c r="I322" s="18" t="s">
        <v>97</v>
      </c>
      <c r="J322" s="18" t="s">
        <v>75</v>
      </c>
      <c r="O322"/>
      <c r="P322"/>
      <c r="Q322"/>
    </row>
    <row r="323" spans="7:17">
      <c r="G323" s="2">
        <f t="shared" si="5"/>
        <v>3</v>
      </c>
      <c r="H323" s="17">
        <v>2100809</v>
      </c>
      <c r="I323" s="18" t="s">
        <v>97</v>
      </c>
      <c r="J323" s="18" t="s">
        <v>75</v>
      </c>
      <c r="O323"/>
      <c r="P323"/>
      <c r="Q323"/>
    </row>
    <row r="324" spans="7:17">
      <c r="G324" s="2">
        <f t="shared" si="5"/>
        <v>3</v>
      </c>
      <c r="H324" s="17">
        <v>2050530</v>
      </c>
      <c r="I324" s="18" t="s">
        <v>97</v>
      </c>
      <c r="J324" s="18" t="s">
        <v>75</v>
      </c>
      <c r="O324"/>
      <c r="P324"/>
      <c r="Q324"/>
    </row>
    <row r="325" spans="7:17">
      <c r="G325" s="2">
        <f t="shared" si="5"/>
        <v>3</v>
      </c>
      <c r="H325" s="17">
        <v>2080533</v>
      </c>
      <c r="I325" s="18" t="s">
        <v>97</v>
      </c>
      <c r="J325" s="18" t="s">
        <v>75</v>
      </c>
      <c r="O325"/>
      <c r="P325"/>
      <c r="Q325"/>
    </row>
    <row r="326" spans="7:17">
      <c r="G326" s="2">
        <f t="shared" si="5"/>
        <v>3</v>
      </c>
      <c r="H326" s="17">
        <v>2130302</v>
      </c>
      <c r="I326" s="18" t="s">
        <v>97</v>
      </c>
      <c r="J326" s="18" t="s">
        <v>75</v>
      </c>
      <c r="O326"/>
      <c r="P326"/>
      <c r="Q326"/>
    </row>
    <row r="327" spans="7:17">
      <c r="G327" s="2">
        <f t="shared" si="5"/>
        <v>3</v>
      </c>
      <c r="H327" s="17">
        <v>2080822</v>
      </c>
      <c r="I327" s="18" t="s">
        <v>97</v>
      </c>
      <c r="J327" s="18" t="s">
        <v>75</v>
      </c>
      <c r="O327"/>
      <c r="P327"/>
      <c r="Q327"/>
    </row>
    <row r="328" spans="7:17">
      <c r="G328" s="2">
        <f t="shared" si="5"/>
        <v>3</v>
      </c>
      <c r="H328" s="17">
        <v>2070637</v>
      </c>
      <c r="I328" s="18" t="s">
        <v>97</v>
      </c>
      <c r="J328" s="18" t="s">
        <v>75</v>
      </c>
      <c r="O328"/>
      <c r="P328"/>
      <c r="Q328"/>
    </row>
    <row r="329" spans="7:17">
      <c r="G329" s="2">
        <f t="shared" si="5"/>
        <v>3</v>
      </c>
      <c r="H329" s="17">
        <v>2100806</v>
      </c>
      <c r="I329" s="18" t="s">
        <v>97</v>
      </c>
      <c r="J329" s="18" t="s">
        <v>75</v>
      </c>
      <c r="O329"/>
      <c r="P329"/>
      <c r="Q329"/>
    </row>
    <row r="330" spans="7:17">
      <c r="G330" s="2">
        <f t="shared" si="5"/>
        <v>3</v>
      </c>
      <c r="H330" s="17">
        <v>2050562</v>
      </c>
      <c r="I330" s="18" t="s">
        <v>97</v>
      </c>
      <c r="J330" s="18" t="s">
        <v>75</v>
      </c>
      <c r="O330"/>
      <c r="P330"/>
      <c r="Q330"/>
    </row>
    <row r="331" spans="7:17">
      <c r="G331" s="2">
        <f t="shared" si="5"/>
        <v>3</v>
      </c>
      <c r="H331" s="17">
        <v>2080858</v>
      </c>
      <c r="I331" s="18" t="s">
        <v>97</v>
      </c>
      <c r="J331" s="18" t="s">
        <v>75</v>
      </c>
      <c r="O331"/>
      <c r="P331"/>
      <c r="Q331"/>
    </row>
    <row r="332" spans="7:17">
      <c r="G332" s="2">
        <f t="shared" si="5"/>
        <v>3</v>
      </c>
      <c r="H332" s="17">
        <v>2150801</v>
      </c>
      <c r="I332" s="18" t="s">
        <v>97</v>
      </c>
      <c r="J332" s="18" t="s">
        <v>75</v>
      </c>
      <c r="O332"/>
      <c r="P332"/>
      <c r="Q332"/>
    </row>
    <row r="333" spans="7:17">
      <c r="G333" s="2">
        <f t="shared" si="5"/>
        <v>3</v>
      </c>
      <c r="H333" s="17">
        <v>2120401</v>
      </c>
      <c r="I333" s="18" t="s">
        <v>97</v>
      </c>
      <c r="J333" s="18" t="s">
        <v>75</v>
      </c>
      <c r="O333"/>
      <c r="P333"/>
      <c r="Q333"/>
    </row>
    <row r="334" spans="7:17">
      <c r="G334" s="2">
        <f t="shared" si="5"/>
        <v>3</v>
      </c>
      <c r="H334" s="17">
        <v>2080803</v>
      </c>
      <c r="I334" s="18" t="s">
        <v>97</v>
      </c>
      <c r="J334" s="18" t="s">
        <v>75</v>
      </c>
      <c r="O334"/>
      <c r="P334"/>
      <c r="Q334"/>
    </row>
    <row r="335" spans="7:17">
      <c r="G335" s="2">
        <f t="shared" si="5"/>
        <v>3</v>
      </c>
      <c r="H335" s="17">
        <v>2100309</v>
      </c>
      <c r="I335" s="18" t="s">
        <v>97</v>
      </c>
      <c r="J335" s="18" t="s">
        <v>75</v>
      </c>
      <c r="O335"/>
      <c r="P335"/>
      <c r="Q335"/>
    </row>
    <row r="336" spans="7:17">
      <c r="G336" s="2">
        <f t="shared" si="5"/>
        <v>3</v>
      </c>
      <c r="H336" s="17">
        <v>2080910</v>
      </c>
      <c r="I336" s="18" t="s">
        <v>97</v>
      </c>
      <c r="J336" s="18" t="s">
        <v>75</v>
      </c>
      <c r="O336"/>
      <c r="P336"/>
      <c r="Q336"/>
    </row>
    <row r="337" spans="7:17">
      <c r="G337" s="2">
        <f t="shared" si="5"/>
        <v>3</v>
      </c>
      <c r="H337" s="17">
        <v>2250701</v>
      </c>
      <c r="I337" s="18" t="s">
        <v>97</v>
      </c>
      <c r="J337" s="18" t="s">
        <v>75</v>
      </c>
      <c r="O337"/>
      <c r="P337"/>
      <c r="Q337"/>
    </row>
    <row r="338" spans="7:17">
      <c r="G338" s="2">
        <f t="shared" si="5"/>
        <v>3</v>
      </c>
      <c r="H338" s="17">
        <v>2231102</v>
      </c>
      <c r="I338" s="18" t="s">
        <v>97</v>
      </c>
      <c r="J338" s="18" t="s">
        <v>75</v>
      </c>
      <c r="O338"/>
      <c r="P338"/>
      <c r="Q338"/>
    </row>
    <row r="339" spans="7:17">
      <c r="G339" s="2">
        <f t="shared" si="5"/>
        <v>3</v>
      </c>
      <c r="H339" s="17">
        <v>2110410</v>
      </c>
      <c r="I339" s="18" t="s">
        <v>97</v>
      </c>
      <c r="J339" s="18" t="s">
        <v>75</v>
      </c>
      <c r="O339"/>
      <c r="P339"/>
      <c r="Q339"/>
    </row>
    <row r="340" spans="7:17">
      <c r="G340" s="2">
        <f t="shared" si="5"/>
        <v>3</v>
      </c>
      <c r="H340" s="17">
        <v>2110115</v>
      </c>
      <c r="I340" s="18" t="s">
        <v>103</v>
      </c>
      <c r="J340" s="18" t="s">
        <v>81</v>
      </c>
      <c r="O340"/>
      <c r="P340"/>
      <c r="Q340"/>
    </row>
    <row r="341" spans="7:17">
      <c r="G341" s="2">
        <f t="shared" si="5"/>
        <v>3</v>
      </c>
      <c r="H341" s="17">
        <v>2060936</v>
      </c>
      <c r="I341" s="18" t="s">
        <v>103</v>
      </c>
      <c r="J341" s="18" t="s">
        <v>81</v>
      </c>
      <c r="O341"/>
      <c r="P341"/>
      <c r="Q341"/>
    </row>
    <row r="342" spans="7:17">
      <c r="G342" s="2">
        <f t="shared" si="5"/>
        <v>3</v>
      </c>
      <c r="H342" s="17">
        <v>2060958</v>
      </c>
      <c r="I342" s="18" t="s">
        <v>103</v>
      </c>
      <c r="J342" s="18" t="s">
        <v>81</v>
      </c>
      <c r="O342"/>
      <c r="P342"/>
      <c r="Q342"/>
    </row>
    <row r="343" spans="7:17">
      <c r="G343" s="2">
        <f t="shared" si="5"/>
        <v>3</v>
      </c>
      <c r="H343" s="17">
        <v>2070845</v>
      </c>
      <c r="I343" s="18" t="s">
        <v>103</v>
      </c>
      <c r="J343" s="18" t="s">
        <v>81</v>
      </c>
      <c r="O343"/>
      <c r="P343"/>
      <c r="Q343"/>
    </row>
    <row r="344" spans="7:17">
      <c r="G344" s="2">
        <f t="shared" si="5"/>
        <v>3</v>
      </c>
      <c r="H344" s="17">
        <v>2080846</v>
      </c>
      <c r="I344" s="18" t="s">
        <v>103</v>
      </c>
      <c r="J344" s="18" t="s">
        <v>81</v>
      </c>
      <c r="O344"/>
      <c r="P344"/>
      <c r="Q344"/>
    </row>
    <row r="345" spans="7:17">
      <c r="G345" s="2">
        <f t="shared" si="5"/>
        <v>3</v>
      </c>
      <c r="H345" s="17">
        <v>2150796</v>
      </c>
      <c r="I345" s="18" t="s">
        <v>103</v>
      </c>
      <c r="J345" s="18" t="s">
        <v>81</v>
      </c>
      <c r="O345"/>
      <c r="P345"/>
      <c r="Q345"/>
    </row>
    <row r="346" spans="7:17">
      <c r="G346" s="2">
        <f t="shared" si="5"/>
        <v>3</v>
      </c>
      <c r="H346" s="17">
        <v>2150715</v>
      </c>
      <c r="I346" s="18" t="s">
        <v>103</v>
      </c>
      <c r="J346" s="18" t="s">
        <v>81</v>
      </c>
      <c r="O346"/>
      <c r="P346"/>
      <c r="Q346"/>
    </row>
    <row r="347" spans="7:17">
      <c r="G347" s="2">
        <f t="shared" si="5"/>
        <v>3</v>
      </c>
      <c r="H347" s="17">
        <v>2090601</v>
      </c>
      <c r="I347" s="18" t="s">
        <v>103</v>
      </c>
      <c r="J347" s="18" t="s">
        <v>81</v>
      </c>
      <c r="O347"/>
      <c r="P347"/>
      <c r="Q347"/>
    </row>
    <row r="348" spans="7:17">
      <c r="G348" s="2">
        <f t="shared" si="5"/>
        <v>3</v>
      </c>
      <c r="H348" s="17">
        <v>2150770</v>
      </c>
      <c r="I348" s="18" t="s">
        <v>103</v>
      </c>
      <c r="J348" s="18" t="s">
        <v>81</v>
      </c>
      <c r="O348"/>
      <c r="P348"/>
      <c r="Q348"/>
    </row>
    <row r="349" spans="7:17">
      <c r="G349" s="2">
        <f t="shared" si="5"/>
        <v>3</v>
      </c>
      <c r="H349" s="17">
        <v>2150782</v>
      </c>
      <c r="I349" s="18" t="s">
        <v>103</v>
      </c>
      <c r="J349" s="18" t="s">
        <v>81</v>
      </c>
      <c r="O349"/>
      <c r="P349"/>
      <c r="Q349"/>
    </row>
    <row r="350" spans="7:17">
      <c r="G350" s="2">
        <f t="shared" si="5"/>
        <v>3</v>
      </c>
      <c r="H350" s="17">
        <v>2150402</v>
      </c>
      <c r="I350" s="18" t="s">
        <v>103</v>
      </c>
      <c r="J350" s="18" t="s">
        <v>81</v>
      </c>
      <c r="O350"/>
      <c r="P350"/>
      <c r="Q350"/>
    </row>
    <row r="351" spans="7:17">
      <c r="G351" s="2">
        <f t="shared" si="5"/>
        <v>3</v>
      </c>
      <c r="H351" s="17">
        <v>2070844</v>
      </c>
      <c r="I351" s="18" t="s">
        <v>103</v>
      </c>
      <c r="J351" s="18" t="s">
        <v>81</v>
      </c>
      <c r="O351"/>
      <c r="P351"/>
      <c r="Q351"/>
    </row>
    <row r="352" spans="7:17">
      <c r="G352" s="2">
        <f t="shared" si="5"/>
        <v>3</v>
      </c>
      <c r="H352" s="17">
        <v>2150410</v>
      </c>
      <c r="I352" s="18" t="s">
        <v>103</v>
      </c>
      <c r="J352" s="18" t="s">
        <v>81</v>
      </c>
      <c r="O352"/>
      <c r="P352"/>
      <c r="Q352"/>
    </row>
    <row r="353" spans="7:17">
      <c r="G353" s="2">
        <f t="shared" si="5"/>
        <v>3</v>
      </c>
      <c r="H353" s="17">
        <v>2150721</v>
      </c>
      <c r="I353" s="18" t="s">
        <v>103</v>
      </c>
      <c r="J353" s="18" t="s">
        <v>81</v>
      </c>
      <c r="O353"/>
      <c r="P353"/>
      <c r="Q353"/>
    </row>
    <row r="354" spans="7:17">
      <c r="G354" s="2">
        <f t="shared" si="5"/>
        <v>3</v>
      </c>
      <c r="H354" s="17">
        <v>2080832</v>
      </c>
      <c r="I354" s="18" t="s">
        <v>103</v>
      </c>
      <c r="J354" s="18" t="s">
        <v>81</v>
      </c>
      <c r="O354"/>
      <c r="P354"/>
      <c r="Q354"/>
    </row>
    <row r="355" spans="7:17">
      <c r="G355" s="2">
        <f t="shared" si="5"/>
        <v>3</v>
      </c>
      <c r="H355" s="17">
        <v>2070102</v>
      </c>
      <c r="I355" s="18" t="s">
        <v>103</v>
      </c>
      <c r="J355" s="18" t="s">
        <v>81</v>
      </c>
      <c r="O355"/>
      <c r="P355"/>
      <c r="Q355"/>
    </row>
    <row r="356" spans="7:17">
      <c r="G356" s="2">
        <f t="shared" si="5"/>
        <v>3</v>
      </c>
      <c r="H356" s="17">
        <v>2121004</v>
      </c>
      <c r="I356" s="18" t="s">
        <v>103</v>
      </c>
      <c r="J356" s="18" t="s">
        <v>81</v>
      </c>
      <c r="O356"/>
      <c r="P356"/>
      <c r="Q356"/>
    </row>
    <row r="357" spans="7:17">
      <c r="G357" s="2">
        <f t="shared" si="5"/>
        <v>3</v>
      </c>
      <c r="H357" s="17">
        <v>2120402</v>
      </c>
      <c r="I357" s="18" t="s">
        <v>103</v>
      </c>
      <c r="J357" s="18" t="s">
        <v>81</v>
      </c>
      <c r="O357"/>
      <c r="P357"/>
      <c r="Q357"/>
    </row>
    <row r="358" spans="7:17">
      <c r="G358" s="2">
        <f t="shared" si="5"/>
        <v>3</v>
      </c>
      <c r="H358" s="17">
        <v>2070121</v>
      </c>
      <c r="I358" s="18" t="s">
        <v>103</v>
      </c>
      <c r="J358" s="18" t="s">
        <v>81</v>
      </c>
      <c r="O358"/>
      <c r="P358"/>
      <c r="Q358"/>
    </row>
    <row r="359" spans="7:17">
      <c r="G359" s="2">
        <f t="shared" si="5"/>
        <v>3</v>
      </c>
      <c r="H359" s="17">
        <v>2150778</v>
      </c>
      <c r="I359" s="18" t="s">
        <v>103</v>
      </c>
      <c r="J359" s="18" t="s">
        <v>81</v>
      </c>
      <c r="O359"/>
      <c r="P359"/>
      <c r="Q359"/>
    </row>
    <row r="360" spans="7:17">
      <c r="G360" s="2">
        <f t="shared" si="5"/>
        <v>3</v>
      </c>
      <c r="H360" s="17">
        <v>2150723</v>
      </c>
      <c r="I360" s="18" t="s">
        <v>103</v>
      </c>
      <c r="J360" s="18" t="s">
        <v>81</v>
      </c>
      <c r="O360"/>
      <c r="P360"/>
      <c r="Q360"/>
    </row>
    <row r="361" spans="7:17">
      <c r="G361" s="2">
        <f t="shared" si="5"/>
        <v>3</v>
      </c>
      <c r="H361" s="17">
        <v>2061018</v>
      </c>
      <c r="I361" s="18" t="s">
        <v>103</v>
      </c>
      <c r="J361" s="18" t="s">
        <v>81</v>
      </c>
      <c r="O361"/>
      <c r="P361"/>
      <c r="Q361"/>
    </row>
    <row r="362" spans="7:17">
      <c r="G362" s="2">
        <f t="shared" si="5"/>
        <v>3</v>
      </c>
      <c r="H362" s="17">
        <v>2060966</v>
      </c>
      <c r="I362" s="18" t="s">
        <v>103</v>
      </c>
      <c r="J362" s="18" t="s">
        <v>81</v>
      </c>
      <c r="O362"/>
      <c r="P362"/>
      <c r="Q362"/>
    </row>
    <row r="363" spans="7:17">
      <c r="G363" s="2">
        <f t="shared" si="5"/>
        <v>3</v>
      </c>
      <c r="H363" s="17">
        <v>2150732</v>
      </c>
      <c r="I363" s="18" t="s">
        <v>103</v>
      </c>
      <c r="J363" s="18" t="s">
        <v>81</v>
      </c>
      <c r="O363"/>
      <c r="P363"/>
      <c r="Q363"/>
    </row>
    <row r="364" spans="7:17">
      <c r="G364" s="2">
        <f t="shared" si="5"/>
        <v>3</v>
      </c>
      <c r="H364" s="17">
        <v>2150727</v>
      </c>
      <c r="I364" s="18" t="s">
        <v>103</v>
      </c>
      <c r="J364" s="18" t="s">
        <v>81</v>
      </c>
      <c r="O364"/>
      <c r="P364"/>
      <c r="Q364"/>
    </row>
    <row r="365" spans="7:17">
      <c r="G365" s="2">
        <f t="shared" si="5"/>
        <v>3</v>
      </c>
      <c r="H365" s="17">
        <v>2091103</v>
      </c>
      <c r="I365" s="18" t="s">
        <v>103</v>
      </c>
      <c r="J365" s="18" t="s">
        <v>81</v>
      </c>
      <c r="O365"/>
      <c r="P365"/>
      <c r="Q365"/>
    </row>
    <row r="366" spans="7:17">
      <c r="G366" s="2">
        <f t="shared" si="5"/>
        <v>3</v>
      </c>
      <c r="H366" s="17">
        <v>2080905</v>
      </c>
      <c r="I366" s="18" t="s">
        <v>103</v>
      </c>
      <c r="J366" s="18" t="s">
        <v>81</v>
      </c>
      <c r="O366"/>
      <c r="P366"/>
      <c r="Q366"/>
    </row>
    <row r="367" spans="7:17">
      <c r="G367" s="2">
        <f t="shared" si="5"/>
        <v>3</v>
      </c>
      <c r="H367" s="17">
        <v>2070827</v>
      </c>
      <c r="I367" s="18" t="s">
        <v>104</v>
      </c>
      <c r="J367" s="18" t="s">
        <v>82</v>
      </c>
      <c r="O367"/>
      <c r="P367"/>
      <c r="Q367"/>
    </row>
    <row r="368" spans="7:17">
      <c r="G368" s="2">
        <f t="shared" si="5"/>
        <v>3</v>
      </c>
      <c r="H368" s="17">
        <v>2070825</v>
      </c>
      <c r="I368" s="18" t="s">
        <v>104</v>
      </c>
      <c r="J368" s="18" t="s">
        <v>82</v>
      </c>
      <c r="O368"/>
      <c r="P368"/>
      <c r="Q368"/>
    </row>
    <row r="369" spans="7:17">
      <c r="G369" s="2">
        <f t="shared" si="5"/>
        <v>3</v>
      </c>
      <c r="H369" s="17">
        <v>2061211</v>
      </c>
      <c r="I369" s="18" t="s">
        <v>104</v>
      </c>
      <c r="J369" s="18" t="s">
        <v>82</v>
      </c>
      <c r="O369"/>
      <c r="P369"/>
      <c r="Q369"/>
    </row>
    <row r="370" spans="7:17">
      <c r="G370" s="2">
        <f t="shared" si="5"/>
        <v>3</v>
      </c>
      <c r="H370" s="17">
        <v>2080529</v>
      </c>
      <c r="I370" s="18" t="s">
        <v>104</v>
      </c>
      <c r="J370" s="18" t="s">
        <v>82</v>
      </c>
      <c r="O370"/>
      <c r="P370"/>
      <c r="Q370"/>
    </row>
    <row r="371" spans="7:17">
      <c r="G371" s="2">
        <f t="shared" si="5"/>
        <v>3</v>
      </c>
      <c r="H371" s="17">
        <v>2150718</v>
      </c>
      <c r="I371" s="18" t="s">
        <v>104</v>
      </c>
      <c r="J371" s="18" t="s">
        <v>82</v>
      </c>
      <c r="O371"/>
      <c r="P371"/>
      <c r="Q371"/>
    </row>
    <row r="372" spans="7:17">
      <c r="G372" s="2">
        <f t="shared" si="5"/>
        <v>3</v>
      </c>
      <c r="H372" s="17">
        <v>2080526</v>
      </c>
      <c r="I372" s="18" t="s">
        <v>104</v>
      </c>
      <c r="J372" s="18" t="s">
        <v>82</v>
      </c>
      <c r="O372"/>
      <c r="P372"/>
      <c r="Q372"/>
    </row>
    <row r="373" spans="7:17">
      <c r="G373" s="2">
        <f t="shared" si="5"/>
        <v>3</v>
      </c>
      <c r="H373" s="17">
        <v>2100810</v>
      </c>
      <c r="I373" s="18" t="s">
        <v>104</v>
      </c>
      <c r="J373" s="18" t="s">
        <v>82</v>
      </c>
      <c r="O373"/>
      <c r="P373"/>
      <c r="Q373"/>
    </row>
    <row r="374" spans="7:17">
      <c r="G374" s="2">
        <f t="shared" si="5"/>
        <v>3</v>
      </c>
      <c r="H374" s="17">
        <v>2150764</v>
      </c>
      <c r="I374" s="18" t="s">
        <v>104</v>
      </c>
      <c r="J374" s="18" t="s">
        <v>82</v>
      </c>
      <c r="O374"/>
      <c r="P374"/>
      <c r="Q374"/>
    </row>
    <row r="375" spans="7:17">
      <c r="G375" s="2">
        <f t="shared" si="5"/>
        <v>3</v>
      </c>
      <c r="H375" s="17">
        <v>2150724</v>
      </c>
      <c r="I375" s="18" t="s">
        <v>104</v>
      </c>
      <c r="J375" s="18" t="s">
        <v>82</v>
      </c>
      <c r="O375"/>
      <c r="P375"/>
      <c r="Q375"/>
    </row>
    <row r="376" spans="7:17">
      <c r="G376" s="2">
        <f t="shared" si="5"/>
        <v>3</v>
      </c>
      <c r="H376" s="17">
        <v>2100305</v>
      </c>
      <c r="I376" s="18" t="s">
        <v>104</v>
      </c>
      <c r="J376" s="18" t="s">
        <v>82</v>
      </c>
      <c r="O376"/>
      <c r="P376"/>
      <c r="Q376"/>
    </row>
    <row r="377" spans="7:17">
      <c r="G377" s="2">
        <f t="shared" si="5"/>
        <v>3</v>
      </c>
      <c r="H377" s="17">
        <v>2050526</v>
      </c>
      <c r="I377" s="18" t="s">
        <v>104</v>
      </c>
      <c r="J377" s="18" t="s">
        <v>82</v>
      </c>
      <c r="O377"/>
      <c r="P377"/>
      <c r="Q377"/>
    </row>
    <row r="378" spans="7:17">
      <c r="G378" s="2">
        <f t="shared" si="5"/>
        <v>3</v>
      </c>
      <c r="H378" s="17">
        <v>2070842</v>
      </c>
      <c r="I378" s="18" t="s">
        <v>104</v>
      </c>
      <c r="J378" s="18" t="s">
        <v>82</v>
      </c>
      <c r="O378"/>
      <c r="P378"/>
      <c r="Q378"/>
    </row>
    <row r="379" spans="7:17">
      <c r="G379" s="2">
        <f t="shared" si="5"/>
        <v>3</v>
      </c>
      <c r="H379" s="17">
        <v>2080521</v>
      </c>
      <c r="I379" s="18" t="s">
        <v>104</v>
      </c>
      <c r="J379" s="18" t="s">
        <v>82</v>
      </c>
      <c r="O379"/>
      <c r="P379"/>
      <c r="Q379"/>
    </row>
    <row r="380" spans="7:17">
      <c r="G380" s="2">
        <f t="shared" si="5"/>
        <v>3</v>
      </c>
      <c r="H380" s="17">
        <v>2070636</v>
      </c>
      <c r="I380" s="18" t="s">
        <v>104</v>
      </c>
      <c r="J380" s="18" t="s">
        <v>82</v>
      </c>
      <c r="O380"/>
      <c r="P380"/>
      <c r="Q380"/>
    </row>
    <row r="381" spans="7:17">
      <c r="G381" s="2">
        <f t="shared" si="5"/>
        <v>3</v>
      </c>
      <c r="H381" s="17">
        <v>2150785</v>
      </c>
      <c r="I381" s="18" t="s">
        <v>104</v>
      </c>
      <c r="J381" s="18" t="s">
        <v>82</v>
      </c>
      <c r="O381"/>
      <c r="P381"/>
      <c r="Q381"/>
    </row>
    <row r="382" spans="7:17">
      <c r="G382" s="2">
        <f t="shared" si="5"/>
        <v>3</v>
      </c>
      <c r="H382" s="17">
        <v>2150719</v>
      </c>
      <c r="I382" s="18" t="s">
        <v>104</v>
      </c>
      <c r="J382" s="18" t="s">
        <v>82</v>
      </c>
      <c r="O382"/>
      <c r="P382"/>
      <c r="Q382"/>
    </row>
    <row r="383" spans="7:17">
      <c r="G383" s="2">
        <f t="shared" si="5"/>
        <v>3</v>
      </c>
      <c r="H383" s="17">
        <v>2061015</v>
      </c>
      <c r="I383" s="18" t="s">
        <v>104</v>
      </c>
      <c r="J383" s="18" t="s">
        <v>82</v>
      </c>
      <c r="O383"/>
      <c r="P383"/>
      <c r="Q383"/>
    </row>
    <row r="384" spans="7:17">
      <c r="G384" s="2">
        <f t="shared" si="5"/>
        <v>3</v>
      </c>
      <c r="H384" s="17">
        <v>2070865</v>
      </c>
      <c r="I384" s="18" t="s">
        <v>104</v>
      </c>
      <c r="J384" s="18" t="s">
        <v>82</v>
      </c>
      <c r="O384"/>
      <c r="P384"/>
      <c r="Q384"/>
    </row>
    <row r="385" spans="7:17">
      <c r="G385" s="2">
        <f t="shared" si="5"/>
        <v>3</v>
      </c>
      <c r="H385" s="17">
        <v>2150749</v>
      </c>
      <c r="I385" s="18" t="s">
        <v>104</v>
      </c>
      <c r="J385" s="18" t="s">
        <v>82</v>
      </c>
      <c r="O385"/>
      <c r="P385"/>
      <c r="Q385"/>
    </row>
    <row r="386" spans="7:17">
      <c r="G386" s="2">
        <f t="shared" ref="G386:G449" si="6">VLOOKUP(J386,$P$2:$Q$25,2,0)</f>
        <v>3</v>
      </c>
      <c r="H386" s="17">
        <v>2070824</v>
      </c>
      <c r="I386" s="18" t="s">
        <v>104</v>
      </c>
      <c r="J386" s="18" t="s">
        <v>82</v>
      </c>
      <c r="O386"/>
      <c r="P386"/>
      <c r="Q386"/>
    </row>
    <row r="387" spans="7:17">
      <c r="G387" s="2">
        <f t="shared" si="6"/>
        <v>3</v>
      </c>
      <c r="H387" s="17">
        <v>2150752</v>
      </c>
      <c r="I387" s="18" t="s">
        <v>104</v>
      </c>
      <c r="J387" s="18" t="s">
        <v>82</v>
      </c>
      <c r="O387"/>
      <c r="P387"/>
      <c r="Q387"/>
    </row>
    <row r="388" spans="7:17">
      <c r="G388" s="2">
        <f t="shared" si="6"/>
        <v>3</v>
      </c>
      <c r="H388" s="17">
        <v>2150756</v>
      </c>
      <c r="I388" s="18" t="s">
        <v>104</v>
      </c>
      <c r="J388" s="18" t="s">
        <v>82</v>
      </c>
      <c r="O388"/>
      <c r="P388"/>
      <c r="Q388"/>
    </row>
    <row r="389" spans="7:17">
      <c r="G389" s="2">
        <f t="shared" si="6"/>
        <v>3</v>
      </c>
      <c r="H389" s="17">
        <v>2071010</v>
      </c>
      <c r="I389" s="18" t="s">
        <v>104</v>
      </c>
      <c r="J389" s="18" t="s">
        <v>82</v>
      </c>
      <c r="O389"/>
      <c r="P389"/>
      <c r="Q389"/>
    </row>
    <row r="390" spans="7:17">
      <c r="G390" s="2">
        <f t="shared" si="6"/>
        <v>3</v>
      </c>
      <c r="H390" s="17">
        <v>2080840</v>
      </c>
      <c r="I390" s="18" t="s">
        <v>104</v>
      </c>
      <c r="J390" s="18" t="s">
        <v>82</v>
      </c>
      <c r="O390"/>
      <c r="P390"/>
      <c r="Q390"/>
    </row>
    <row r="391" spans="7:17">
      <c r="G391" s="2">
        <f t="shared" si="6"/>
        <v>3</v>
      </c>
      <c r="H391" s="17">
        <v>2100815</v>
      </c>
      <c r="I391" s="18" t="s">
        <v>104</v>
      </c>
      <c r="J391" s="18" t="s">
        <v>82</v>
      </c>
      <c r="O391"/>
      <c r="P391"/>
      <c r="Q391"/>
    </row>
    <row r="392" spans="7:17">
      <c r="G392" s="2">
        <f t="shared" si="6"/>
        <v>3</v>
      </c>
      <c r="H392" s="17">
        <v>2240402</v>
      </c>
      <c r="I392" s="18" t="s">
        <v>104</v>
      </c>
      <c r="J392" s="18" t="s">
        <v>82</v>
      </c>
      <c r="O392"/>
      <c r="P392"/>
      <c r="Q392"/>
    </row>
    <row r="393" spans="7:17">
      <c r="G393" s="2">
        <f t="shared" si="6"/>
        <v>3</v>
      </c>
      <c r="H393" s="17">
        <v>2110103</v>
      </c>
      <c r="I393" s="18" t="s">
        <v>104</v>
      </c>
      <c r="J393" s="18" t="s">
        <v>82</v>
      </c>
      <c r="O393"/>
      <c r="P393"/>
      <c r="Q393"/>
    </row>
    <row r="394" spans="7:17">
      <c r="G394" s="2">
        <f t="shared" si="6"/>
        <v>3</v>
      </c>
      <c r="H394" s="17">
        <v>2101105</v>
      </c>
      <c r="I394" s="18" t="s">
        <v>104</v>
      </c>
      <c r="J394" s="18" t="s">
        <v>82</v>
      </c>
      <c r="O394"/>
      <c r="P394"/>
      <c r="Q394"/>
    </row>
    <row r="395" spans="7:17">
      <c r="G395" s="2">
        <f t="shared" si="6"/>
        <v>3</v>
      </c>
      <c r="H395" s="17">
        <v>2060823</v>
      </c>
      <c r="I395" s="18" t="s">
        <v>104</v>
      </c>
      <c r="J395" s="18" t="s">
        <v>82</v>
      </c>
      <c r="O395"/>
      <c r="P395"/>
      <c r="Q395"/>
    </row>
    <row r="396" spans="7:17">
      <c r="G396" s="2">
        <f t="shared" si="6"/>
        <v>3</v>
      </c>
      <c r="H396" s="17">
        <v>2150710</v>
      </c>
      <c r="I396" s="18" t="s">
        <v>96</v>
      </c>
      <c r="J396" s="18" t="s">
        <v>74</v>
      </c>
      <c r="O396"/>
      <c r="P396"/>
      <c r="Q396"/>
    </row>
    <row r="397" spans="7:17">
      <c r="G397" s="2">
        <f t="shared" si="6"/>
        <v>3</v>
      </c>
      <c r="H397" s="17">
        <v>2061209</v>
      </c>
      <c r="I397" s="18" t="s">
        <v>96</v>
      </c>
      <c r="J397" s="18" t="s">
        <v>74</v>
      </c>
      <c r="O397"/>
      <c r="P397"/>
      <c r="Q397"/>
    </row>
    <row r="398" spans="7:17">
      <c r="G398" s="2">
        <f t="shared" si="6"/>
        <v>3</v>
      </c>
      <c r="H398" s="17">
        <v>2050579</v>
      </c>
      <c r="I398" s="18" t="s">
        <v>96</v>
      </c>
      <c r="J398" s="18" t="s">
        <v>74</v>
      </c>
      <c r="O398"/>
      <c r="P398"/>
      <c r="Q398"/>
    </row>
    <row r="399" spans="7:17">
      <c r="G399" s="2">
        <f t="shared" si="6"/>
        <v>3</v>
      </c>
      <c r="H399" s="17">
        <v>2050586</v>
      </c>
      <c r="I399" s="18" t="s">
        <v>96</v>
      </c>
      <c r="J399" s="18" t="s">
        <v>74</v>
      </c>
      <c r="O399"/>
      <c r="P399"/>
      <c r="Q399"/>
    </row>
    <row r="400" spans="7:17">
      <c r="G400" s="2">
        <f t="shared" si="6"/>
        <v>3</v>
      </c>
      <c r="H400" s="17">
        <v>2080856</v>
      </c>
      <c r="I400" s="18" t="s">
        <v>96</v>
      </c>
      <c r="J400" s="18" t="s">
        <v>74</v>
      </c>
      <c r="O400"/>
      <c r="P400"/>
      <c r="Q400"/>
    </row>
    <row r="401" spans="7:17">
      <c r="G401" s="2">
        <f t="shared" si="6"/>
        <v>3</v>
      </c>
      <c r="H401" s="17">
        <v>2060943</v>
      </c>
      <c r="I401" s="18" t="s">
        <v>96</v>
      </c>
      <c r="J401" s="18" t="s">
        <v>74</v>
      </c>
      <c r="O401"/>
      <c r="P401"/>
      <c r="Q401"/>
    </row>
    <row r="402" spans="7:17">
      <c r="G402" s="2">
        <f t="shared" si="6"/>
        <v>3</v>
      </c>
      <c r="H402" s="17">
        <v>2070862</v>
      </c>
      <c r="I402" s="18" t="s">
        <v>96</v>
      </c>
      <c r="J402" s="18" t="s">
        <v>74</v>
      </c>
      <c r="O402"/>
      <c r="P402"/>
      <c r="Q402"/>
    </row>
    <row r="403" spans="7:17">
      <c r="G403" s="2">
        <f t="shared" si="6"/>
        <v>3</v>
      </c>
      <c r="H403" s="17">
        <v>2060110</v>
      </c>
      <c r="I403" s="18" t="s">
        <v>96</v>
      </c>
      <c r="J403" s="18" t="s">
        <v>74</v>
      </c>
      <c r="O403"/>
      <c r="P403"/>
      <c r="Q403"/>
    </row>
    <row r="404" spans="7:17">
      <c r="G404" s="2">
        <f t="shared" si="6"/>
        <v>3</v>
      </c>
      <c r="H404" s="17">
        <v>2050536</v>
      </c>
      <c r="I404" s="18" t="s">
        <v>96</v>
      </c>
      <c r="J404" s="18" t="s">
        <v>74</v>
      </c>
      <c r="O404"/>
      <c r="P404"/>
      <c r="Q404"/>
    </row>
    <row r="405" spans="7:17">
      <c r="G405" s="2">
        <f t="shared" si="6"/>
        <v>3</v>
      </c>
      <c r="H405" s="17">
        <v>2150781</v>
      </c>
      <c r="I405" s="18" t="s">
        <v>96</v>
      </c>
      <c r="J405" s="18" t="s">
        <v>74</v>
      </c>
      <c r="O405"/>
      <c r="P405"/>
      <c r="Q405"/>
    </row>
    <row r="406" spans="7:17">
      <c r="G406" s="2">
        <f t="shared" si="6"/>
        <v>3</v>
      </c>
      <c r="H406" s="17">
        <v>2060947</v>
      </c>
      <c r="I406" s="18" t="s">
        <v>96</v>
      </c>
      <c r="J406" s="18" t="s">
        <v>74</v>
      </c>
      <c r="O406"/>
      <c r="P406"/>
      <c r="Q406"/>
    </row>
    <row r="407" spans="7:17">
      <c r="G407" s="2">
        <f t="shared" si="6"/>
        <v>3</v>
      </c>
      <c r="H407" s="17">
        <v>2060959</v>
      </c>
      <c r="I407" s="18" t="s">
        <v>96</v>
      </c>
      <c r="J407" s="18" t="s">
        <v>74</v>
      </c>
      <c r="O407"/>
      <c r="P407"/>
      <c r="Q407"/>
    </row>
    <row r="408" spans="7:17">
      <c r="G408" s="2">
        <f t="shared" si="6"/>
        <v>3</v>
      </c>
      <c r="H408" s="17">
        <v>2100411</v>
      </c>
      <c r="I408" s="18" t="s">
        <v>96</v>
      </c>
      <c r="J408" s="18" t="s">
        <v>74</v>
      </c>
      <c r="O408"/>
      <c r="P408"/>
      <c r="Q408"/>
    </row>
    <row r="409" spans="7:17">
      <c r="G409" s="2">
        <f t="shared" si="6"/>
        <v>3</v>
      </c>
      <c r="H409" s="17">
        <v>2150762</v>
      </c>
      <c r="I409" s="18" t="s">
        <v>96</v>
      </c>
      <c r="J409" s="18" t="s">
        <v>74</v>
      </c>
      <c r="O409"/>
      <c r="P409"/>
      <c r="Q409"/>
    </row>
    <row r="410" spans="7:17">
      <c r="G410" s="2">
        <f t="shared" si="6"/>
        <v>3</v>
      </c>
      <c r="H410" s="17">
        <v>2060945</v>
      </c>
      <c r="I410" s="18" t="s">
        <v>96</v>
      </c>
      <c r="J410" s="18" t="s">
        <v>74</v>
      </c>
      <c r="O410"/>
      <c r="P410"/>
      <c r="Q410"/>
    </row>
    <row r="411" spans="7:17">
      <c r="G411" s="2">
        <f t="shared" si="6"/>
        <v>3</v>
      </c>
      <c r="H411" s="17">
        <v>2050571</v>
      </c>
      <c r="I411" s="18" t="s">
        <v>96</v>
      </c>
      <c r="J411" s="18" t="s">
        <v>74</v>
      </c>
      <c r="O411"/>
      <c r="P411"/>
      <c r="Q411"/>
    </row>
    <row r="412" spans="7:17">
      <c r="G412" s="2">
        <f t="shared" si="6"/>
        <v>3</v>
      </c>
      <c r="H412" s="17">
        <v>2060937</v>
      </c>
      <c r="I412" s="18" t="s">
        <v>96</v>
      </c>
      <c r="J412" s="18" t="s">
        <v>74</v>
      </c>
      <c r="O412"/>
      <c r="P412"/>
      <c r="Q412"/>
    </row>
    <row r="413" spans="7:17">
      <c r="G413" s="2">
        <f t="shared" si="6"/>
        <v>3</v>
      </c>
      <c r="H413" s="17">
        <v>2150776</v>
      </c>
      <c r="I413" s="18" t="s">
        <v>96</v>
      </c>
      <c r="J413" s="18" t="s">
        <v>74</v>
      </c>
      <c r="O413"/>
      <c r="P413"/>
      <c r="Q413"/>
    </row>
    <row r="414" spans="7:17">
      <c r="G414" s="2">
        <f t="shared" si="6"/>
        <v>3</v>
      </c>
      <c r="H414" s="17">
        <v>2050547</v>
      </c>
      <c r="I414" s="18" t="s">
        <v>96</v>
      </c>
      <c r="J414" s="18" t="s">
        <v>74</v>
      </c>
      <c r="O414"/>
      <c r="P414"/>
      <c r="Q414"/>
    </row>
    <row r="415" spans="7:17">
      <c r="G415" s="2">
        <f t="shared" si="6"/>
        <v>3</v>
      </c>
      <c r="H415" s="17">
        <v>2050588</v>
      </c>
      <c r="I415" s="18" t="s">
        <v>96</v>
      </c>
      <c r="J415" s="18" t="s">
        <v>74</v>
      </c>
      <c r="O415"/>
      <c r="P415"/>
      <c r="Q415"/>
    </row>
    <row r="416" spans="7:17">
      <c r="G416" s="2">
        <f t="shared" si="6"/>
        <v>3</v>
      </c>
      <c r="H416" s="17">
        <v>2150779</v>
      </c>
      <c r="I416" s="18" t="s">
        <v>96</v>
      </c>
      <c r="J416" s="18" t="s">
        <v>74</v>
      </c>
      <c r="O416"/>
      <c r="P416"/>
      <c r="Q416"/>
    </row>
    <row r="417" spans="7:17">
      <c r="G417" s="2">
        <f t="shared" si="6"/>
        <v>3</v>
      </c>
      <c r="H417" s="17">
        <v>2150804</v>
      </c>
      <c r="I417" s="18" t="s">
        <v>96</v>
      </c>
      <c r="J417" s="18" t="s">
        <v>74</v>
      </c>
      <c r="O417"/>
      <c r="P417"/>
      <c r="Q417"/>
    </row>
    <row r="418" spans="7:17">
      <c r="G418" s="2">
        <f t="shared" si="6"/>
        <v>3</v>
      </c>
      <c r="H418" s="17">
        <v>2150747</v>
      </c>
      <c r="I418" s="18" t="s">
        <v>96</v>
      </c>
      <c r="J418" s="18" t="s">
        <v>74</v>
      </c>
      <c r="O418"/>
      <c r="P418"/>
      <c r="Q418"/>
    </row>
    <row r="419" spans="7:17">
      <c r="G419" s="2">
        <f t="shared" si="6"/>
        <v>3</v>
      </c>
      <c r="H419" s="17">
        <v>2060964</v>
      </c>
      <c r="I419" s="18" t="s">
        <v>96</v>
      </c>
      <c r="J419" s="18" t="s">
        <v>74</v>
      </c>
      <c r="O419"/>
      <c r="P419"/>
      <c r="Q419"/>
    </row>
    <row r="420" spans="7:17">
      <c r="G420" s="2">
        <f t="shared" si="6"/>
        <v>3</v>
      </c>
      <c r="H420" s="17">
        <v>2080852</v>
      </c>
      <c r="I420" s="18" t="s">
        <v>96</v>
      </c>
      <c r="J420" s="18" t="s">
        <v>74</v>
      </c>
      <c r="O420"/>
      <c r="P420"/>
      <c r="Q420"/>
    </row>
    <row r="421" spans="7:17">
      <c r="G421" s="2">
        <f t="shared" si="6"/>
        <v>3</v>
      </c>
      <c r="H421" s="17">
        <v>2080537</v>
      </c>
      <c r="I421" s="18" t="s">
        <v>96</v>
      </c>
      <c r="J421" s="18" t="s">
        <v>74</v>
      </c>
      <c r="O421"/>
      <c r="P421"/>
      <c r="Q421"/>
    </row>
    <row r="422" spans="7:17">
      <c r="G422" s="2">
        <f t="shared" si="6"/>
        <v>3</v>
      </c>
      <c r="H422" s="17">
        <v>2150763</v>
      </c>
      <c r="I422" s="18" t="s">
        <v>96</v>
      </c>
      <c r="J422" s="18" t="s">
        <v>74</v>
      </c>
      <c r="O422"/>
      <c r="P422"/>
      <c r="Q422"/>
    </row>
    <row r="423" spans="7:17">
      <c r="G423" s="2">
        <f t="shared" si="6"/>
        <v>3</v>
      </c>
      <c r="H423" s="17">
        <v>2070106</v>
      </c>
      <c r="I423" s="18" t="s">
        <v>96</v>
      </c>
      <c r="J423" s="18" t="s">
        <v>74</v>
      </c>
      <c r="O423"/>
      <c r="P423"/>
      <c r="Q423"/>
    </row>
    <row r="424" spans="7:17">
      <c r="G424" s="2">
        <f t="shared" si="6"/>
        <v>3</v>
      </c>
      <c r="H424" s="17">
        <v>2080603</v>
      </c>
      <c r="I424" s="18" t="s">
        <v>96</v>
      </c>
      <c r="J424" s="18" t="s">
        <v>74</v>
      </c>
      <c r="O424"/>
      <c r="P424"/>
      <c r="Q424"/>
    </row>
    <row r="425" spans="7:17">
      <c r="G425" s="2">
        <f t="shared" si="6"/>
        <v>3</v>
      </c>
      <c r="H425" s="17">
        <v>2070201</v>
      </c>
      <c r="I425" s="18" t="s">
        <v>96</v>
      </c>
      <c r="J425" s="18" t="s">
        <v>74</v>
      </c>
      <c r="O425"/>
      <c r="P425"/>
      <c r="Q425"/>
    </row>
    <row r="426" spans="7:17">
      <c r="G426" s="2">
        <f t="shared" si="6"/>
        <v>3</v>
      </c>
      <c r="H426" s="17">
        <v>2100501</v>
      </c>
      <c r="I426" s="18" t="s">
        <v>95</v>
      </c>
      <c r="J426" s="18" t="s">
        <v>73</v>
      </c>
      <c r="O426"/>
      <c r="P426"/>
      <c r="Q426"/>
    </row>
    <row r="427" spans="7:17">
      <c r="G427" s="2">
        <f t="shared" si="6"/>
        <v>3</v>
      </c>
      <c r="H427" s="17">
        <v>2060817</v>
      </c>
      <c r="I427" s="18" t="s">
        <v>95</v>
      </c>
      <c r="J427" s="18" t="s">
        <v>73</v>
      </c>
      <c r="O427"/>
      <c r="P427"/>
      <c r="Q427"/>
    </row>
    <row r="428" spans="7:17">
      <c r="G428" s="2">
        <f t="shared" si="6"/>
        <v>3</v>
      </c>
      <c r="H428" s="17">
        <v>2070724</v>
      </c>
      <c r="I428" s="18" t="s">
        <v>92</v>
      </c>
      <c r="J428" s="18" t="s">
        <v>70</v>
      </c>
      <c r="O428"/>
      <c r="P428"/>
      <c r="Q428"/>
    </row>
    <row r="429" spans="7:17">
      <c r="G429" s="2">
        <f t="shared" si="6"/>
        <v>3</v>
      </c>
      <c r="H429" s="17">
        <v>2150407</v>
      </c>
      <c r="I429" s="18" t="s">
        <v>92</v>
      </c>
      <c r="J429" s="18" t="s">
        <v>70</v>
      </c>
      <c r="O429"/>
      <c r="P429"/>
      <c r="Q429"/>
    </row>
    <row r="430" spans="7:17">
      <c r="G430" s="2">
        <f t="shared" si="6"/>
        <v>3</v>
      </c>
      <c r="H430" s="17">
        <v>2240708</v>
      </c>
      <c r="I430" s="18" t="s">
        <v>92</v>
      </c>
      <c r="J430" s="18" t="s">
        <v>70</v>
      </c>
      <c r="O430"/>
      <c r="P430"/>
      <c r="Q430"/>
    </row>
    <row r="431" spans="7:17">
      <c r="G431" s="2">
        <f t="shared" si="6"/>
        <v>3</v>
      </c>
      <c r="H431" s="17">
        <v>2150738</v>
      </c>
      <c r="I431" s="18" t="s">
        <v>92</v>
      </c>
      <c r="J431" s="18" t="s">
        <v>70</v>
      </c>
      <c r="O431"/>
      <c r="P431"/>
      <c r="Q431"/>
    </row>
    <row r="432" spans="7:17">
      <c r="G432" s="2">
        <f t="shared" si="6"/>
        <v>3</v>
      </c>
      <c r="H432" s="17">
        <v>2240712</v>
      </c>
      <c r="I432" s="18" t="s">
        <v>92</v>
      </c>
      <c r="J432" s="18" t="s">
        <v>70</v>
      </c>
      <c r="O432"/>
      <c r="P432"/>
      <c r="Q432"/>
    </row>
    <row r="433" spans="7:17">
      <c r="G433" s="2">
        <f t="shared" si="6"/>
        <v>3</v>
      </c>
      <c r="H433" s="17">
        <v>2240715</v>
      </c>
      <c r="I433" s="18" t="s">
        <v>92</v>
      </c>
      <c r="J433" s="18" t="s">
        <v>70</v>
      </c>
      <c r="O433"/>
      <c r="P433"/>
      <c r="Q433"/>
    </row>
    <row r="434" spans="7:17">
      <c r="G434" s="2">
        <f t="shared" si="6"/>
        <v>3</v>
      </c>
      <c r="H434" s="17">
        <v>2240717</v>
      </c>
      <c r="I434" s="18" t="s">
        <v>92</v>
      </c>
      <c r="J434" s="18" t="s">
        <v>70</v>
      </c>
      <c r="O434"/>
      <c r="P434"/>
      <c r="Q434"/>
    </row>
    <row r="435" spans="7:17">
      <c r="G435" s="2">
        <f t="shared" si="6"/>
        <v>3</v>
      </c>
      <c r="H435" s="17">
        <v>2240707</v>
      </c>
      <c r="I435" s="18" t="s">
        <v>92</v>
      </c>
      <c r="J435" s="18" t="s">
        <v>70</v>
      </c>
      <c r="O435"/>
      <c r="P435"/>
      <c r="Q435"/>
    </row>
    <row r="436" spans="7:17">
      <c r="G436" s="2">
        <f t="shared" si="6"/>
        <v>3</v>
      </c>
      <c r="H436" s="17">
        <v>2240720</v>
      </c>
      <c r="I436" s="18" t="s">
        <v>92</v>
      </c>
      <c r="J436" s="18" t="s">
        <v>70</v>
      </c>
      <c r="O436"/>
      <c r="P436"/>
      <c r="Q436"/>
    </row>
    <row r="437" spans="7:17">
      <c r="G437" s="2">
        <f t="shared" si="6"/>
        <v>3</v>
      </c>
      <c r="H437" s="17">
        <v>2240719</v>
      </c>
      <c r="I437" s="18" t="s">
        <v>92</v>
      </c>
      <c r="J437" s="18" t="s">
        <v>70</v>
      </c>
      <c r="O437"/>
      <c r="P437"/>
      <c r="Q437"/>
    </row>
    <row r="438" spans="7:17">
      <c r="G438" s="2">
        <f t="shared" si="6"/>
        <v>3</v>
      </c>
      <c r="H438" s="17">
        <v>2240709</v>
      </c>
      <c r="I438" s="18" t="s">
        <v>92</v>
      </c>
      <c r="J438" s="18" t="s">
        <v>70</v>
      </c>
      <c r="O438"/>
      <c r="P438"/>
      <c r="Q438"/>
    </row>
    <row r="439" spans="7:17">
      <c r="G439" s="2">
        <f t="shared" si="6"/>
        <v>3</v>
      </c>
      <c r="H439" s="17">
        <v>2240721</v>
      </c>
      <c r="I439" s="18" t="s">
        <v>92</v>
      </c>
      <c r="J439" s="18" t="s">
        <v>70</v>
      </c>
      <c r="O439"/>
      <c r="P439"/>
      <c r="Q439"/>
    </row>
    <row r="440" spans="7:17">
      <c r="G440" s="2">
        <f t="shared" si="6"/>
        <v>3</v>
      </c>
      <c r="H440" s="17">
        <v>2240705</v>
      </c>
      <c r="I440" s="18" t="s">
        <v>92</v>
      </c>
      <c r="J440" s="18" t="s">
        <v>70</v>
      </c>
      <c r="O440"/>
      <c r="P440"/>
      <c r="Q440"/>
    </row>
    <row r="441" spans="7:17">
      <c r="G441" s="2">
        <f t="shared" si="6"/>
        <v>3</v>
      </c>
      <c r="H441" s="17">
        <v>2240706</v>
      </c>
      <c r="I441" s="18" t="s">
        <v>92</v>
      </c>
      <c r="J441" s="18" t="s">
        <v>70</v>
      </c>
      <c r="O441"/>
      <c r="P441"/>
      <c r="Q441"/>
    </row>
    <row r="442" spans="7:17">
      <c r="G442" s="2">
        <f t="shared" si="6"/>
        <v>3</v>
      </c>
      <c r="H442" s="17">
        <v>2240711</v>
      </c>
      <c r="I442" s="18" t="s">
        <v>92</v>
      </c>
      <c r="J442" s="18" t="s">
        <v>70</v>
      </c>
      <c r="O442"/>
      <c r="P442"/>
      <c r="Q442"/>
    </row>
    <row r="443" spans="7:17">
      <c r="G443" s="2">
        <f t="shared" si="6"/>
        <v>3</v>
      </c>
      <c r="H443" s="17">
        <v>2240702</v>
      </c>
      <c r="I443" s="18" t="s">
        <v>92</v>
      </c>
      <c r="J443" s="18" t="s">
        <v>70</v>
      </c>
      <c r="O443"/>
      <c r="P443"/>
      <c r="Q443"/>
    </row>
    <row r="444" spans="7:17">
      <c r="G444" s="2">
        <f t="shared" si="6"/>
        <v>3</v>
      </c>
      <c r="H444" s="17">
        <v>2240704</v>
      </c>
      <c r="I444" s="18" t="s">
        <v>92</v>
      </c>
      <c r="J444" s="18" t="s">
        <v>70</v>
      </c>
      <c r="O444"/>
      <c r="P444"/>
      <c r="Q444"/>
    </row>
    <row r="445" spans="7:17">
      <c r="G445" s="2">
        <f t="shared" si="6"/>
        <v>3</v>
      </c>
      <c r="H445" s="17">
        <v>2240716</v>
      </c>
      <c r="I445" s="18" t="s">
        <v>92</v>
      </c>
      <c r="J445" s="18" t="s">
        <v>70</v>
      </c>
      <c r="O445"/>
      <c r="P445"/>
      <c r="Q445"/>
    </row>
    <row r="446" spans="7:17">
      <c r="G446" s="2">
        <f t="shared" si="6"/>
        <v>3</v>
      </c>
      <c r="H446" s="17">
        <v>2240718</v>
      </c>
      <c r="I446" s="18" t="s">
        <v>92</v>
      </c>
      <c r="J446" s="18" t="s">
        <v>70</v>
      </c>
      <c r="O446"/>
      <c r="P446"/>
      <c r="Q446"/>
    </row>
    <row r="447" spans="7:17">
      <c r="G447" s="2">
        <f t="shared" si="6"/>
        <v>3</v>
      </c>
      <c r="H447" s="17">
        <v>2240710</v>
      </c>
      <c r="I447" s="18" t="s">
        <v>92</v>
      </c>
      <c r="J447" s="18" t="s">
        <v>70</v>
      </c>
      <c r="O447"/>
      <c r="P447"/>
      <c r="Q447"/>
    </row>
    <row r="448" spans="7:17">
      <c r="G448" s="2">
        <f t="shared" si="6"/>
        <v>3</v>
      </c>
      <c r="H448" s="17">
        <v>2240722</v>
      </c>
      <c r="I448" s="18" t="s">
        <v>92</v>
      </c>
      <c r="J448" s="18" t="s">
        <v>70</v>
      </c>
      <c r="O448"/>
      <c r="P448"/>
      <c r="Q448"/>
    </row>
    <row r="449" spans="7:17">
      <c r="G449" s="2">
        <f t="shared" si="6"/>
        <v>3</v>
      </c>
      <c r="H449" s="17">
        <v>2240714</v>
      </c>
      <c r="I449" s="18" t="s">
        <v>92</v>
      </c>
      <c r="J449" s="18" t="s">
        <v>70</v>
      </c>
      <c r="O449"/>
      <c r="P449"/>
      <c r="Q449"/>
    </row>
    <row r="450" spans="7:17">
      <c r="G450" s="2">
        <f t="shared" ref="G450:G488" si="7">VLOOKUP(J450,$P$2:$Q$25,2,0)</f>
        <v>3</v>
      </c>
      <c r="H450" s="17">
        <v>2240713</v>
      </c>
      <c r="I450" s="18" t="s">
        <v>92</v>
      </c>
      <c r="J450" s="18" t="s">
        <v>70</v>
      </c>
      <c r="O450"/>
      <c r="P450"/>
      <c r="Q450"/>
    </row>
    <row r="451" spans="7:17">
      <c r="G451" s="2">
        <f t="shared" si="7"/>
        <v>3</v>
      </c>
      <c r="H451" s="17">
        <v>2080818</v>
      </c>
      <c r="I451" s="18" t="s">
        <v>92</v>
      </c>
      <c r="J451" s="18" t="s">
        <v>70</v>
      </c>
      <c r="O451"/>
      <c r="P451"/>
      <c r="Q451"/>
    </row>
    <row r="452" spans="7:17">
      <c r="G452" s="2">
        <f t="shared" si="7"/>
        <v>3</v>
      </c>
      <c r="H452" s="17">
        <v>2060105</v>
      </c>
      <c r="I452" s="18" t="s">
        <v>108</v>
      </c>
      <c r="J452" s="18" t="s">
        <v>85</v>
      </c>
      <c r="O452"/>
      <c r="P452"/>
      <c r="Q452"/>
    </row>
    <row r="453" spans="7:17">
      <c r="G453" s="2">
        <f t="shared" si="7"/>
        <v>3</v>
      </c>
      <c r="H453" s="17">
        <v>2060941</v>
      </c>
      <c r="I453" s="18" t="s">
        <v>108</v>
      </c>
      <c r="J453" s="18" t="s">
        <v>85</v>
      </c>
      <c r="O453"/>
      <c r="P453"/>
      <c r="Q453"/>
    </row>
    <row r="454" spans="7:17">
      <c r="G454" s="2">
        <f t="shared" si="7"/>
        <v>3</v>
      </c>
      <c r="H454" s="17">
        <v>2080814</v>
      </c>
      <c r="I454" s="18" t="s">
        <v>108</v>
      </c>
      <c r="J454" s="18" t="s">
        <v>85</v>
      </c>
      <c r="O454"/>
      <c r="P454"/>
      <c r="Q454"/>
    </row>
    <row r="455" spans="7:17">
      <c r="G455" s="2">
        <f t="shared" si="7"/>
        <v>3</v>
      </c>
      <c r="H455" s="17">
        <v>2100813</v>
      </c>
      <c r="I455" s="18" t="s">
        <v>108</v>
      </c>
      <c r="J455" s="18" t="s">
        <v>85</v>
      </c>
      <c r="O455"/>
      <c r="P455"/>
      <c r="Q455"/>
    </row>
    <row r="456" spans="7:17">
      <c r="G456" s="2">
        <f t="shared" si="7"/>
        <v>3</v>
      </c>
      <c r="H456" s="17">
        <v>2101210</v>
      </c>
      <c r="I456" s="18" t="s">
        <v>108</v>
      </c>
      <c r="J456" s="18" t="s">
        <v>85</v>
      </c>
      <c r="O456"/>
      <c r="P456"/>
      <c r="Q456"/>
    </row>
    <row r="457" spans="7:17">
      <c r="G457" s="2">
        <f t="shared" si="7"/>
        <v>3</v>
      </c>
      <c r="H457" s="17">
        <v>2060956</v>
      </c>
      <c r="I457" s="18" t="s">
        <v>108</v>
      </c>
      <c r="J457" s="18" t="s">
        <v>85</v>
      </c>
      <c r="O457"/>
      <c r="P457"/>
      <c r="Q457"/>
    </row>
    <row r="458" spans="7:17">
      <c r="G458" s="2">
        <f t="shared" si="7"/>
        <v>3</v>
      </c>
      <c r="H458" s="17">
        <v>2101211</v>
      </c>
      <c r="I458" s="18" t="s">
        <v>108</v>
      </c>
      <c r="J458" s="18" t="s">
        <v>85</v>
      </c>
      <c r="O458"/>
      <c r="P458"/>
      <c r="Q458"/>
    </row>
    <row r="459" spans="7:17">
      <c r="G459" s="2">
        <f t="shared" si="7"/>
        <v>3</v>
      </c>
      <c r="H459" s="17">
        <v>2100704</v>
      </c>
      <c r="I459" s="18" t="s">
        <v>108</v>
      </c>
      <c r="J459" s="18" t="s">
        <v>85</v>
      </c>
      <c r="O459"/>
      <c r="P459"/>
      <c r="Q459"/>
    </row>
    <row r="460" spans="7:17">
      <c r="G460" s="2">
        <f t="shared" si="7"/>
        <v>3</v>
      </c>
      <c r="H460" s="17">
        <v>2070110</v>
      </c>
      <c r="I460" s="18" t="s">
        <v>108</v>
      </c>
      <c r="J460" s="18" t="s">
        <v>85</v>
      </c>
      <c r="O460"/>
      <c r="P460"/>
      <c r="Q460"/>
    </row>
    <row r="461" spans="7:17">
      <c r="G461" s="2">
        <f t="shared" si="7"/>
        <v>3</v>
      </c>
      <c r="H461" s="17">
        <v>2070639</v>
      </c>
      <c r="I461" s="18" t="s">
        <v>108</v>
      </c>
      <c r="J461" s="18" t="s">
        <v>85</v>
      </c>
      <c r="O461"/>
      <c r="P461"/>
      <c r="Q461"/>
    </row>
    <row r="462" spans="7:17">
      <c r="G462" s="2">
        <f t="shared" si="7"/>
        <v>3</v>
      </c>
      <c r="H462" s="17">
        <v>2150750</v>
      </c>
      <c r="I462" s="18" t="s">
        <v>108</v>
      </c>
      <c r="J462" s="18" t="s">
        <v>85</v>
      </c>
      <c r="O462"/>
      <c r="P462"/>
      <c r="Q462"/>
    </row>
    <row r="463" spans="7:17">
      <c r="G463" s="2">
        <f t="shared" si="7"/>
        <v>3</v>
      </c>
      <c r="H463" s="17">
        <v>2070534</v>
      </c>
      <c r="I463" s="18" t="s">
        <v>108</v>
      </c>
      <c r="J463" s="18" t="s">
        <v>85</v>
      </c>
      <c r="O463"/>
      <c r="P463"/>
      <c r="Q463"/>
    </row>
    <row r="464" spans="7:17">
      <c r="G464" s="2">
        <f t="shared" si="7"/>
        <v>3</v>
      </c>
      <c r="H464" s="17">
        <v>2070109</v>
      </c>
      <c r="I464" s="18" t="s">
        <v>108</v>
      </c>
      <c r="J464" s="18" t="s">
        <v>85</v>
      </c>
      <c r="O464"/>
      <c r="P464"/>
      <c r="Q464"/>
    </row>
    <row r="465" spans="7:17">
      <c r="G465" s="2">
        <f t="shared" si="7"/>
        <v>3</v>
      </c>
      <c r="H465" s="17">
        <v>2150413</v>
      </c>
      <c r="I465" s="18" t="s">
        <v>108</v>
      </c>
      <c r="J465" s="18" t="s">
        <v>85</v>
      </c>
      <c r="O465"/>
      <c r="P465"/>
      <c r="Q465"/>
    </row>
    <row r="466" spans="7:17">
      <c r="G466" s="2">
        <f t="shared" si="7"/>
        <v>3</v>
      </c>
      <c r="H466" s="17">
        <v>2070853</v>
      </c>
      <c r="I466" s="18" t="s">
        <v>108</v>
      </c>
      <c r="J466" s="18" t="s">
        <v>85</v>
      </c>
      <c r="O466"/>
      <c r="P466"/>
      <c r="Q466"/>
    </row>
    <row r="467" spans="7:17">
      <c r="G467" s="2">
        <f t="shared" si="7"/>
        <v>3</v>
      </c>
      <c r="H467" s="17">
        <v>2080837</v>
      </c>
      <c r="I467" s="18" t="s">
        <v>108</v>
      </c>
      <c r="J467" s="18" t="s">
        <v>85</v>
      </c>
      <c r="O467"/>
      <c r="P467"/>
      <c r="Q467"/>
    </row>
    <row r="468" spans="7:17">
      <c r="G468" s="2">
        <f t="shared" si="7"/>
        <v>3</v>
      </c>
      <c r="H468" s="17">
        <v>2060963</v>
      </c>
      <c r="I468" s="18" t="s">
        <v>108</v>
      </c>
      <c r="J468" s="18" t="s">
        <v>85</v>
      </c>
      <c r="O468"/>
      <c r="P468"/>
      <c r="Q468"/>
    </row>
    <row r="469" spans="7:17">
      <c r="G469" s="2">
        <f t="shared" si="7"/>
        <v>3</v>
      </c>
      <c r="H469" s="17">
        <v>2080860</v>
      </c>
      <c r="I469" s="18" t="s">
        <v>108</v>
      </c>
      <c r="J469" s="18" t="s">
        <v>85</v>
      </c>
      <c r="O469"/>
      <c r="P469"/>
      <c r="Q469"/>
    </row>
    <row r="470" spans="7:17">
      <c r="G470" s="2">
        <f t="shared" si="7"/>
        <v>3</v>
      </c>
      <c r="H470" s="17">
        <v>2070521</v>
      </c>
      <c r="I470" s="18" t="s">
        <v>108</v>
      </c>
      <c r="J470" s="18" t="s">
        <v>85</v>
      </c>
      <c r="O470"/>
      <c r="P470"/>
      <c r="Q470"/>
    </row>
    <row r="471" spans="7:17">
      <c r="G471" s="2">
        <f t="shared" si="7"/>
        <v>3</v>
      </c>
      <c r="H471" s="17">
        <v>2091108</v>
      </c>
      <c r="I471" s="18" t="s">
        <v>108</v>
      </c>
      <c r="J471" s="18" t="s">
        <v>85</v>
      </c>
      <c r="O471"/>
      <c r="P471"/>
      <c r="Q471"/>
    </row>
    <row r="472" spans="7:17">
      <c r="G472" s="2">
        <f t="shared" si="7"/>
        <v>3</v>
      </c>
      <c r="H472" s="17">
        <v>2080848</v>
      </c>
      <c r="I472" s="18" t="s">
        <v>108</v>
      </c>
      <c r="J472" s="18" t="s">
        <v>85</v>
      </c>
      <c r="O472"/>
      <c r="P472"/>
      <c r="Q472"/>
    </row>
    <row r="473" spans="7:17">
      <c r="G473" s="2">
        <f t="shared" si="7"/>
        <v>3</v>
      </c>
      <c r="H473" s="17">
        <v>2080854</v>
      </c>
      <c r="I473" s="18" t="s">
        <v>108</v>
      </c>
      <c r="J473" s="18" t="s">
        <v>85</v>
      </c>
      <c r="O473"/>
      <c r="P473"/>
      <c r="Q473"/>
    </row>
    <row r="474" spans="7:17">
      <c r="G474" s="2">
        <f t="shared" si="7"/>
        <v>3</v>
      </c>
      <c r="H474" s="17">
        <v>2070524</v>
      </c>
      <c r="I474" s="18" t="s">
        <v>108</v>
      </c>
      <c r="J474" s="18" t="s">
        <v>85</v>
      </c>
      <c r="O474"/>
      <c r="P474"/>
      <c r="Q474"/>
    </row>
    <row r="475" spans="7:17">
      <c r="G475" s="2">
        <f t="shared" si="7"/>
        <v>3</v>
      </c>
      <c r="H475" s="17">
        <v>2091111</v>
      </c>
      <c r="I475" s="18" t="s">
        <v>108</v>
      </c>
      <c r="J475" s="18" t="s">
        <v>85</v>
      </c>
      <c r="O475"/>
      <c r="P475"/>
      <c r="Q475"/>
    </row>
    <row r="476" spans="7:17">
      <c r="G476" s="2">
        <f t="shared" si="7"/>
        <v>3</v>
      </c>
      <c r="H476" s="17">
        <v>2090911</v>
      </c>
      <c r="I476" s="18" t="s">
        <v>108</v>
      </c>
      <c r="J476" s="18" t="s">
        <v>85</v>
      </c>
      <c r="O476"/>
      <c r="P476"/>
      <c r="Q476"/>
    </row>
    <row r="477" spans="7:17">
      <c r="G477" s="2">
        <f t="shared" si="7"/>
        <v>3</v>
      </c>
      <c r="H477" s="17">
        <v>2110223</v>
      </c>
      <c r="I477" s="18" t="s">
        <v>108</v>
      </c>
      <c r="J477" s="18" t="s">
        <v>85</v>
      </c>
      <c r="O477"/>
      <c r="P477"/>
      <c r="Q477"/>
    </row>
    <row r="478" spans="7:17">
      <c r="G478" s="2">
        <f t="shared" si="7"/>
        <v>3</v>
      </c>
      <c r="H478" s="17">
        <v>2110225</v>
      </c>
      <c r="I478" s="18" t="s">
        <v>108</v>
      </c>
      <c r="J478" s="18" t="s">
        <v>85</v>
      </c>
      <c r="O478"/>
      <c r="P478"/>
      <c r="Q478"/>
    </row>
    <row r="479" spans="7:17">
      <c r="G479" s="2">
        <f t="shared" si="7"/>
        <v>3</v>
      </c>
      <c r="H479" s="17">
        <v>2110227</v>
      </c>
      <c r="I479" s="18" t="s">
        <v>108</v>
      </c>
      <c r="J479" s="18" t="s">
        <v>85</v>
      </c>
      <c r="O479"/>
      <c r="P479"/>
      <c r="Q479"/>
    </row>
    <row r="480" spans="7:17">
      <c r="G480" s="2">
        <f t="shared" si="7"/>
        <v>3</v>
      </c>
      <c r="H480" s="17">
        <v>2110607</v>
      </c>
      <c r="I480" s="18" t="s">
        <v>108</v>
      </c>
      <c r="J480" s="18" t="s">
        <v>85</v>
      </c>
      <c r="O480"/>
      <c r="P480"/>
      <c r="Q480"/>
    </row>
    <row r="481" spans="7:17">
      <c r="G481" s="2">
        <f t="shared" si="7"/>
        <v>3</v>
      </c>
      <c r="H481" s="17">
        <v>2110105</v>
      </c>
      <c r="I481" s="18" t="s">
        <v>108</v>
      </c>
      <c r="J481" s="18" t="s">
        <v>85</v>
      </c>
      <c r="O481"/>
      <c r="P481"/>
      <c r="Q481"/>
    </row>
    <row r="482" spans="7:17">
      <c r="G482" s="2">
        <f t="shared" si="7"/>
        <v>3</v>
      </c>
      <c r="H482" s="17">
        <v>2050577</v>
      </c>
      <c r="I482" s="18" t="s">
        <v>108</v>
      </c>
      <c r="J482" s="18" t="s">
        <v>85</v>
      </c>
      <c r="O482"/>
      <c r="P482"/>
      <c r="Q482"/>
    </row>
    <row r="483" spans="7:17">
      <c r="G483" s="2">
        <f t="shared" si="7"/>
        <v>3</v>
      </c>
      <c r="H483" s="17">
        <v>2100506</v>
      </c>
      <c r="I483" s="18" t="s">
        <v>108</v>
      </c>
      <c r="J483" s="18" t="s">
        <v>85</v>
      </c>
      <c r="O483"/>
      <c r="P483"/>
      <c r="Q483"/>
    </row>
    <row r="484" spans="7:17">
      <c r="G484" s="2">
        <f t="shared" si="7"/>
        <v>3</v>
      </c>
      <c r="H484" s="17">
        <v>2150824</v>
      </c>
      <c r="I484" s="18" t="s">
        <v>108</v>
      </c>
      <c r="J484" s="18" t="s">
        <v>85</v>
      </c>
      <c r="O484"/>
      <c r="P484"/>
      <c r="Q484"/>
    </row>
    <row r="485" spans="7:17">
      <c r="G485" s="2">
        <f t="shared" si="7"/>
        <v>3</v>
      </c>
      <c r="H485" s="17">
        <v>2080816</v>
      </c>
      <c r="I485" s="18" t="s">
        <v>108</v>
      </c>
      <c r="J485" s="18" t="s">
        <v>85</v>
      </c>
      <c r="O485"/>
      <c r="P485"/>
      <c r="Q485"/>
    </row>
    <row r="486" spans="7:17">
      <c r="G486" s="2">
        <f t="shared" si="7"/>
        <v>3</v>
      </c>
      <c r="H486" s="17">
        <v>2070533</v>
      </c>
      <c r="I486" s="18" t="s">
        <v>108</v>
      </c>
      <c r="J486" s="18" t="s">
        <v>85</v>
      </c>
      <c r="O486"/>
      <c r="P486"/>
      <c r="Q486"/>
    </row>
    <row r="487" spans="7:17">
      <c r="G487" s="2">
        <f t="shared" si="7"/>
        <v>3</v>
      </c>
      <c r="H487" s="17">
        <v>2060860</v>
      </c>
      <c r="I487" s="18" t="s">
        <v>108</v>
      </c>
      <c r="J487" s="18" t="s">
        <v>85</v>
      </c>
      <c r="O487"/>
      <c r="P487"/>
      <c r="Q487"/>
    </row>
    <row r="488" spans="7:17">
      <c r="G488" s="2">
        <f t="shared" si="7"/>
        <v>3</v>
      </c>
      <c r="H488" s="17">
        <v>2041102</v>
      </c>
      <c r="I488" s="18" t="s">
        <v>89</v>
      </c>
      <c r="J488" s="18" t="s">
        <v>67</v>
      </c>
      <c r="O488"/>
      <c r="P488"/>
      <c r="Q488"/>
    </row>
    <row r="489" spans="7:17">
      <c r="G489" s="2"/>
      <c r="H489"/>
      <c r="I489"/>
      <c r="J489" s="2">
        <f>COUNTA(J2:J488)</f>
        <v>487</v>
      </c>
    </row>
    <row r="490" spans="7:17">
      <c r="G490" s="2"/>
      <c r="H490"/>
      <c r="I490"/>
      <c r="J490"/>
    </row>
    <row r="491" spans="7:17">
      <c r="G491" s="2"/>
      <c r="H491"/>
      <c r="I491"/>
      <c r="J491"/>
    </row>
    <row r="492" spans="7:17">
      <c r="G492" s="2"/>
      <c r="H492"/>
      <c r="I492"/>
      <c r="J492"/>
    </row>
    <row r="493" spans="7:17">
      <c r="G493" s="2"/>
      <c r="H493"/>
      <c r="I493"/>
      <c r="J493"/>
    </row>
    <row r="494" spans="7:17">
      <c r="G494" s="2"/>
      <c r="H494"/>
      <c r="I494"/>
      <c r="J494"/>
    </row>
    <row r="495" spans="7:17">
      <c r="G495" s="2"/>
      <c r="H495"/>
      <c r="I495"/>
      <c r="J495"/>
    </row>
    <row r="496" spans="7:17">
      <c r="G496" s="2"/>
      <c r="H496"/>
      <c r="I496"/>
      <c r="J496"/>
    </row>
    <row r="497" spans="7:10">
      <c r="G497" s="2"/>
      <c r="H497"/>
      <c r="I497"/>
      <c r="J497"/>
    </row>
    <row r="498" spans="7:10">
      <c r="G498" s="2"/>
      <c r="H498"/>
      <c r="I498"/>
      <c r="J498"/>
    </row>
    <row r="499" spans="7:10">
      <c r="G499" s="2"/>
      <c r="H499"/>
      <c r="I499"/>
      <c r="J499"/>
    </row>
    <row r="500" spans="7:10">
      <c r="G500" s="2"/>
      <c r="H500"/>
      <c r="I500"/>
      <c r="J500"/>
    </row>
    <row r="501" spans="7:10">
      <c r="G501" s="2"/>
      <c r="H501"/>
      <c r="I501"/>
      <c r="J501"/>
    </row>
    <row r="502" spans="7:10">
      <c r="G502" s="2"/>
      <c r="H502"/>
      <c r="I502"/>
      <c r="J502"/>
    </row>
    <row r="503" spans="7:10">
      <c r="G503" s="2"/>
      <c r="H503"/>
      <c r="I503"/>
      <c r="J503"/>
    </row>
    <row r="504" spans="7:10">
      <c r="G504" s="2"/>
      <c r="H504"/>
      <c r="I504"/>
      <c r="J504"/>
    </row>
    <row r="505" spans="7:10">
      <c r="G505" s="2"/>
      <c r="H505"/>
      <c r="I505"/>
      <c r="J505"/>
    </row>
    <row r="506" spans="7:10">
      <c r="G506" s="2"/>
      <c r="H506"/>
      <c r="I506"/>
      <c r="J506"/>
    </row>
    <row r="507" spans="7:10">
      <c r="G507" s="2"/>
      <c r="H507"/>
      <c r="I507"/>
      <c r="J507"/>
    </row>
    <row r="508" spans="7:10">
      <c r="G508" s="2"/>
      <c r="H508"/>
      <c r="I508"/>
      <c r="J508"/>
    </row>
    <row r="509" spans="7:10">
      <c r="G509" s="2"/>
      <c r="H509"/>
      <c r="I509"/>
      <c r="J509"/>
    </row>
    <row r="510" spans="7:10">
      <c r="G510" s="2"/>
      <c r="H510"/>
      <c r="I510"/>
      <c r="J510"/>
    </row>
    <row r="511" spans="7:10">
      <c r="G511" s="2"/>
      <c r="H511"/>
      <c r="I511"/>
      <c r="J511"/>
    </row>
    <row r="512" spans="7:10">
      <c r="G512" s="2"/>
      <c r="H512"/>
      <c r="I512"/>
      <c r="J512"/>
    </row>
    <row r="513" spans="7:10">
      <c r="G513" s="2"/>
      <c r="H513"/>
      <c r="I513"/>
      <c r="J513"/>
    </row>
    <row r="514" spans="7:10">
      <c r="G514" s="2"/>
      <c r="H514"/>
      <c r="I514"/>
      <c r="J514"/>
    </row>
    <row r="515" spans="7:10">
      <c r="G515" s="2"/>
      <c r="H515" s="2"/>
      <c r="I515" s="2"/>
      <c r="J515" s="2"/>
    </row>
    <row r="516" spans="7:10">
      <c r="G516" s="2"/>
      <c r="H516" s="2"/>
      <c r="I516" s="2"/>
      <c r="J516" s="2"/>
    </row>
    <row r="517" spans="7:10">
      <c r="G517" s="2"/>
      <c r="H517" s="2"/>
      <c r="I517" s="2"/>
      <c r="J517" s="2"/>
    </row>
    <row r="518" spans="7:10">
      <c r="G518" s="2"/>
      <c r="H518" s="2"/>
      <c r="I518" s="2"/>
      <c r="J518" s="2"/>
    </row>
    <row r="519" spans="7:10">
      <c r="G519" s="2"/>
      <c r="H519" s="2"/>
      <c r="I519" s="2"/>
      <c r="J519" s="2"/>
    </row>
    <row r="520" spans="7:10">
      <c r="G520" s="2"/>
      <c r="H520" s="2"/>
      <c r="I520" s="2"/>
      <c r="J520" s="2"/>
    </row>
    <row r="521" spans="7:10">
      <c r="G521" s="2"/>
      <c r="H521" s="2"/>
      <c r="I521" s="2"/>
      <c r="J521" s="2"/>
    </row>
    <row r="522" spans="7:10">
      <c r="G522" s="2"/>
      <c r="H522" s="2"/>
      <c r="I522" s="2"/>
      <c r="J522" s="2"/>
    </row>
    <row r="523" spans="7:10">
      <c r="G523" s="2"/>
      <c r="H523" s="2"/>
      <c r="I523" s="2"/>
      <c r="J523" s="2"/>
    </row>
    <row r="524" spans="7:10">
      <c r="G524" s="2"/>
      <c r="H524" s="2"/>
      <c r="I524" s="2"/>
      <c r="J524" s="2"/>
    </row>
    <row r="525" spans="7:10">
      <c r="G525" s="2"/>
      <c r="H525" s="2"/>
      <c r="I525" s="2"/>
      <c r="J525" s="2"/>
    </row>
    <row r="526" spans="7:10">
      <c r="G526" s="2"/>
      <c r="H526" s="2"/>
      <c r="I526" s="2"/>
      <c r="J526" s="2"/>
    </row>
    <row r="527" spans="7:10">
      <c r="G527" s="2"/>
      <c r="H527" s="2"/>
      <c r="I527" s="2"/>
      <c r="J527" s="2"/>
    </row>
    <row r="528" spans="7:10">
      <c r="G528" s="2"/>
    </row>
    <row r="529" spans="7:7">
      <c r="G529" s="2"/>
    </row>
    <row r="530" spans="7:7">
      <c r="G530" s="2"/>
    </row>
    <row r="531" spans="7:7">
      <c r="G531" s="2"/>
    </row>
    <row r="532" spans="7:7">
      <c r="G532" s="2"/>
    </row>
    <row r="533" spans="7:7">
      <c r="G533" s="2"/>
    </row>
    <row r="534" spans="7:7">
      <c r="G534" s="2"/>
    </row>
    <row r="535" spans="7:7">
      <c r="G535" s="2"/>
    </row>
    <row r="536" spans="7:7">
      <c r="G536" s="2"/>
    </row>
    <row r="537" spans="7:7">
      <c r="G537" s="2"/>
    </row>
    <row r="538" spans="7:7">
      <c r="G538" s="2"/>
    </row>
  </sheetData>
  <autoFilter ref="G1:J489" xr:uid="{00000000-0001-0000-0400-000000000000}"/>
  <sortState xmlns:xlrd2="http://schemas.microsoft.com/office/spreadsheetml/2017/richdata2" ref="G2:J488">
    <sortCondition ref="G2:G488"/>
  </sortState>
  <phoneticPr fontId="49"/>
  <pageMargins left="0.7" right="0.7" top="0.75" bottom="0.75" header="0.3" footer="0.3"/>
  <headerFooter>
    <oddHeader>&amp;C&amp;"Calibri"&amp;10&amp;K000000  Confidential &amp;1#_x000D_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45250-FF8D-4F7E-80D9-F99577F1D770}">
  <sheetPr codeName="Sheet4">
    <tabColor theme="0" tint="-0.499984740745262"/>
  </sheetPr>
  <dimension ref="B28"/>
  <sheetViews>
    <sheetView workbookViewId="0">
      <selection activeCell="P21" sqref="P21"/>
    </sheetView>
  </sheetViews>
  <sheetFormatPr defaultRowHeight="12.75"/>
  <cols>
    <col min="1" max="16384" width="9.140625" style="51"/>
  </cols>
  <sheetData>
    <row r="28" spans="2:2" ht="15">
      <c r="B28" s="50" t="s">
        <v>253</v>
      </c>
    </row>
  </sheetData>
  <phoneticPr fontId="47" type="noConversion"/>
  <pageMargins left="0.7" right="0.7" top="0.75" bottom="0.75" header="0.3" footer="0.3"/>
  <pageSetup paperSize="9" orientation="portrait" horizontalDpi="300" verticalDpi="300" r:id="rId1"/>
  <headerFooter>
    <oddHeader>&amp;C&amp;"Calibri"&amp;10&amp;K000000  Confidential &amp;1#_x000D_</oddHead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21be0c2-9949-4fcb-b23b-e244eda74625">
      <Terms xmlns="http://schemas.microsoft.com/office/infopath/2007/PartnerControls"/>
    </lcf76f155ced4ddcb4097134ff3c332f>
    <TaxCatchAll xmlns="4dab58ff-6a69-4c79-8fd1-6253337aacf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53E2101FCEBC044AA3D59486EE83615F" ma:contentTypeVersion="15" ma:contentTypeDescription="새 문서를 만듭니다." ma:contentTypeScope="" ma:versionID="e8808b85edf6db2ad98897a647e3c9aa">
  <xsd:schema xmlns:xsd="http://www.w3.org/2001/XMLSchema" xmlns:xs="http://www.w3.org/2001/XMLSchema" xmlns:p="http://schemas.microsoft.com/office/2006/metadata/properties" xmlns:ns2="621be0c2-9949-4fcb-b23b-e244eda74625" xmlns:ns3="26f053eb-3196-4b4c-bf90-cd2e8cc47aad" xmlns:ns4="4dab58ff-6a69-4c79-8fd1-6253337aacf6" targetNamespace="http://schemas.microsoft.com/office/2006/metadata/properties" ma:root="true" ma:fieldsID="f50ba6d0956dc963c22a6d46c99ea5aa" ns2:_="" ns3:_="" ns4:_="">
    <xsd:import namespace="621be0c2-9949-4fcb-b23b-e244eda74625"/>
    <xsd:import namespace="26f053eb-3196-4b4c-bf90-cd2e8cc47aad"/>
    <xsd:import namespace="4dab58ff-6a69-4c79-8fd1-6253337aacf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4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be0c2-9949-4fcb-b23b-e244eda7462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이미지 태그" ma:readOnly="false" ma:fieldId="{5cf76f15-5ced-4ddc-b409-7134ff3c332f}" ma:taxonomyMulti="true" ma:sspId="e4472dcf-cde0-4e6a-8f84-bd7a383b25e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MediaServiceObjectDetectorVersions" ma:index="2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f053eb-3196-4b4c-bf90-cd2e8cc47aa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공유 대상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세부 정보 공유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dab58ff-6a69-4c79-8fd1-6253337aacf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fca1490-feef-4c20-b7b7-f38679ab7b9f}" ma:internalName="TaxCatchAll" ma:showField="CatchAllData" ma:web="4dab58ff-6a69-4c79-8fd1-6253337aacf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686F9E8-FE42-4FBB-A441-8980BF904B49}">
  <ds:schemaRefs>
    <ds:schemaRef ds:uri="http://schemas.openxmlformats.org/package/2006/metadata/core-properties"/>
    <ds:schemaRef ds:uri="4dab58ff-6a69-4c79-8fd1-6253337aacf6"/>
    <ds:schemaRef ds:uri="http://schemas.microsoft.com/office/2006/documentManagement/types"/>
    <ds:schemaRef ds:uri="http://purl.org/dc/elements/1.1/"/>
    <ds:schemaRef ds:uri="http://schemas.microsoft.com/office/2006/metadata/properties"/>
    <ds:schemaRef ds:uri="26f053eb-3196-4b4c-bf90-cd2e8cc47aad"/>
    <ds:schemaRef ds:uri="http://schemas.microsoft.com/office/infopath/2007/PartnerControls"/>
    <ds:schemaRef ds:uri="http://purl.org/dc/terms/"/>
    <ds:schemaRef ds:uri="621be0c2-9949-4fcb-b23b-e244eda74625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032FE8C0-209F-4ED2-B957-CFEF83EF418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33741F8-2AF8-4A4C-871E-1E2EE70BA76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be0c2-9949-4fcb-b23b-e244eda74625"/>
    <ds:schemaRef ds:uri="26f053eb-3196-4b4c-bf90-cd2e8cc47aad"/>
    <ds:schemaRef ds:uri="4dab58ff-6a69-4c79-8fd1-6253337aacf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원장</vt:lpstr>
      <vt:lpstr>업로드템플릿</vt:lpstr>
      <vt:lpstr>부서매핑</vt:lpstr>
      <vt:lpstr>계정매핑</vt:lpstr>
      <vt:lpstr>2026-배부율</vt:lpstr>
      <vt:lpstr>Layout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박 현주(PARK HYUNJU)/AFK/경리재무 Section</dc:creator>
  <cp:lastModifiedBy>조 혜정(JO HYEJUNG)/AFK/경리재무TEAM</cp:lastModifiedBy>
  <cp:lastPrinted>2026-06-22T09:08:04Z</cp:lastPrinted>
  <dcterms:created xsi:type="dcterms:W3CDTF">2016-03-04T09:42:00Z</dcterms:created>
  <dcterms:modified xsi:type="dcterms:W3CDTF">2026-07-09T02:43:09Z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0x01010053E2101FCEBC044AA3D59486EE83615F</vt:lpwstr>
  </property>
  <property fmtid="{D5CDD505-2E9C-101B-9397-08002B2CF9AE}" pid="3" name="MediaServiceImageTags">
    <vt:lpwstr/>
  </property>
  <property fmtid="{D5CDD505-2E9C-101B-9397-08002B2CF9AE}" pid="4" name="MSIP_Label_ab12aafb-7649-4932-a7b6-cc51203c638d_Enabled">
    <vt:lpwstr>true</vt:lpwstr>
  </property>
  <property fmtid="{D5CDD505-2E9C-101B-9397-08002B2CF9AE}" pid="5" name="MSIP_Label_ab12aafb-7649-4932-a7b6-cc51203c638d_SetDate">
    <vt:lpwstr>2025-01-03T12:36:54Z</vt:lpwstr>
  </property>
  <property fmtid="{D5CDD505-2E9C-101B-9397-08002B2CF9AE}" pid="6" name="MSIP_Label_ab12aafb-7649-4932-a7b6-cc51203c638d_Method">
    <vt:lpwstr>Privileged</vt:lpwstr>
  </property>
  <property fmtid="{D5CDD505-2E9C-101B-9397-08002B2CF9AE}" pid="7" name="MSIP_Label_ab12aafb-7649-4932-a7b6-cc51203c638d_Name">
    <vt:lpwstr>GCEP2 - Confidential</vt:lpwstr>
  </property>
  <property fmtid="{D5CDD505-2E9C-101B-9397-08002B2CF9AE}" pid="8" name="MSIP_Label_ab12aafb-7649-4932-a7b6-cc51203c638d_SiteId">
    <vt:lpwstr>90c56ca2-d892-45ce-810d-6cf368facdb3</vt:lpwstr>
  </property>
  <property fmtid="{D5CDD505-2E9C-101B-9397-08002B2CF9AE}" pid="9" name="MSIP_Label_ab12aafb-7649-4932-a7b6-cc51203c638d_ActionId">
    <vt:lpwstr>1fc10ac6-676e-40e6-9e35-1714ccf84d3b</vt:lpwstr>
  </property>
  <property fmtid="{D5CDD505-2E9C-101B-9397-08002B2CF9AE}" pid="10" name="MSIP_Label_ab12aafb-7649-4932-a7b6-cc51203c638d_ContentBits">
    <vt:lpwstr>3</vt:lpwstr>
  </property>
</Properties>
</file>